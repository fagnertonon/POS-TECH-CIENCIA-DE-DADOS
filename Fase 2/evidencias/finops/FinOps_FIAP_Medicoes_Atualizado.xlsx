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663d83df5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ao" sheetId="1" r:id="Rcc72de2a443f4325"/>
    <x:sheet xmlns:r="http://schemas.openxmlformats.org/officeDocument/2006/relationships" name="Medicoes" sheetId="2" r:id="R78c46ca22414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&quot;US$ &quot;#,##0.00;(&quot;US$ &quot;#,##0.00);&quot;-&quot;"/>
    <x:numFmt numFmtId="201" formatCode="#,##0;(#,##0);&quot;-&quot;"/>
    <x:numFmt numFmtId="202" formatCode="#,##0.0000;(#,##0.0000);&quot;-&quot;"/>
    <x:numFmt numFmtId="203" formatCode="0.00000000;(0.00000000);&quot;-&quot;"/>
    <x:numFmt numFmtId="204" formatCode="&quot;US$ &quot;#,##0.000000;(&quot;US$ &quot;#,##0.000000);&quot;-&quot;"/>
    <x:numFmt numFmtId="205" formatCode="0.00E+00"/>
    <x:numFmt numFmtId="206" formatCode="@"/>
    <x:numFmt numFmtId="207" formatCode="yyyy-mm-dd hh:mm&quot; UTC&quot;"/>
    <x:numFmt numFmtId="208" formatCode="0.00000"/>
    <x:numFmt numFmtId="209" formatCode="0.0000000000"/>
  </x:numFmts>
  <x:fonts count="12">
    <x:font>
      <x:sz val="11"/>
      <x:name val="Carlito"/>
    </x:font>
    <x:font>
      <x:sz val="10"/>
      <x:color rgb="FF203247"/>
      <x:name val="Arial"/>
    </x:font>
    <x:font>
      <x:b/>
      <x:sz val="16"/>
      <x:color rgb="FF1F3A56"/>
      <x:name val="Arial"/>
    </x:font>
    <x:font>
      <x:i/>
      <x:sz val="10"/>
      <x:color rgb="FF64748B"/>
      <x:name val="Arial"/>
    </x:font>
    <x:font>
      <x:b/>
      <x:sz val="10"/>
      <x:color rgb="FF1F3A56"/>
      <x:name val="Arial"/>
    </x:font>
    <x:font>
      <x:b/>
      <x:sz val="10"/>
      <x:color rgb="FF203247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64748B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sz val="10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0F5"/>
      </x:patternFill>
    </x:fill>
    <x:fill>
      <x:patternFill patternType="solid">
        <x:fgColor rgb="FFFFF2CC"/>
      </x:patternFill>
    </x:fill>
    <x:fill>
      <x:patternFill patternType="solid">
        <x:fgColor rgb="FF1F3A56"/>
      </x:patternFill>
    </x:fill>
    <x:fill>
      <x:patternFill patternType="solid">
        <x:fgColor rgb="FFF5EFE5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F3A56"/>
      </x:bottom>
      <x:diagonal/>
    </x:border>
    <x:border>
      <x:left/>
      <x:right/>
      <x:top style="thin">
        <x:color rgb="FFCFD8E2"/>
      </x:top>
      <x:bottom style="thin">
        <x:color rgb="FFCFD8E2"/>
      </x:bottom>
      <x:diagonal/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2" fontId="9" fillId="2" borderId="0" xfId="0" applyNumberFormat="1" applyFont="1" applyFill="1" applyBorder="1" applyAlignment="1">
      <x:alignment vertical="center"/>
    </x:xf>
    <x:xf numFmtId="203" fontId="9" fillId="2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202" fontId="10" fillId="2" borderId="0" xfId="0" applyNumberFormat="1" applyFont="1" applyFill="1" applyBorder="1" applyAlignment="1">
      <x:alignment vertical="center"/>
    </x:xf>
    <x:xf numFmtId="204" fontId="10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202" fontId="9" fillId="0" borderId="0" xfId="0" applyNumberFormat="1" applyFont="1" applyFill="1" applyBorder="1" applyAlignment="1">
      <x:alignment horizontal="right" vertical="center"/>
    </x:xf>
    <x:xf numFmtId="203" fontId="9" fillId="0" borderId="0" xfId="0" applyNumberFormat="1" applyFont="1" applyFill="1" applyBorder="1" applyAlignment="1">
      <x:alignment horizontal="right" vertical="center"/>
    </x:xf>
    <x:xf numFmtId="202" fontId="10" fillId="0" borderId="0" xfId="0" applyNumberFormat="1" applyFont="1" applyFill="1" applyBorder="1" applyAlignment="1">
      <x:alignment horizontal="right" vertical="center"/>
    </x:xf>
    <x:xf numFmtId="204" fontId="10" fillId="0" borderId="0" xfId="0" applyNumberFormat="1" applyFont="1" applyFill="1" applyBorder="1" applyAlignment="1">
      <x:alignment horizontal="right" vertical="center"/>
    </x:xf>
    <x:xf numFmtId="202" fontId="9" fillId="2" borderId="0" xfId="0" applyNumberFormat="1" applyFont="1" applyFill="1" applyBorder="1" applyAlignment="1">
      <x:alignment horizontal="right" vertical="center"/>
    </x:xf>
    <x:xf numFmtId="203" fontId="9" fillId="2" borderId="0" xfId="0" applyNumberFormat="1" applyFont="1" applyFill="1" applyBorder="1" applyAlignment="1">
      <x:alignment horizontal="right" vertical="center"/>
    </x:xf>
    <x:xf numFmtId="202" fontId="10" fillId="2" borderId="0" xfId="0" applyNumberFormat="1" applyFont="1" applyFill="1" applyBorder="1" applyAlignment="1">
      <x:alignment horizontal="right" vertical="center"/>
    </x:xf>
    <x:xf numFmtId="204" fontId="10" fillId="2" borderId="0" xfId="0" applyNumberFormat="1" applyFont="1" applyFill="1" applyBorder="1" applyAlignment="1">
      <x:alignment horizontal="right"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0"/>
    </x:xf>
    <x:xf numFmtId="202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2" fontId="6" fillId="5" borderId="0" xfId="0" applyNumberFormat="1" applyFont="1" applyFill="1" applyBorder="1" applyAlignment="1">
      <x:alignment horizontal="right" vertical="center"/>
    </x:xf>
    <x:xf numFmtId="203" fontId="6" fillId="0" borderId="0" xfId="0" applyNumberFormat="1" applyFont="1" applyFill="1" applyBorder="1" applyAlignment="1">
      <x:alignment horizontal="right" vertical="center"/>
    </x:xf>
    <x:xf numFmtId="203" fontId="6" fillId="5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3" fontId="6" fillId="0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2" fontId="6" fillId="5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horizontal="right" vertical="center" wrapText="1"/>
    </x:xf>
    <x:xf numFmtId="203" fontId="6" fillId="5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5" fontId="9" fillId="2" borderId="0" xfId="0" applyNumberFormat="1" applyFont="1" applyFill="1" applyBorder="1" applyAlignment="1">
      <x:alignment horizontal="right" vertical="center"/>
    </x:xf>
    <x:xf numFmtId="205" fontId="6" fillId="5" borderId="0" xfId="0" applyNumberFormat="1" applyFont="1" applyFill="1" applyBorder="1" applyAlignment="1">
      <x:alignment horizontal="right" vertical="center" wrapText="1"/>
    </x:xf>
    <x:xf numFmtId="205" fontId="9" fillId="0" borderId="0" xfId="0" applyNumberFormat="1" applyFont="1" applyFill="1" applyBorder="1" applyAlignment="1">
      <x:alignment horizontal="right" vertical="center"/>
    </x:xf>
    <x:xf numFmtId="205" fontId="6" fillId="0" borderId="0" xfId="0" applyNumberFormat="1" applyFont="1" applyFill="1" applyBorder="1" applyAlignment="1">
      <x:alignment horizontal="right" vertical="center" wrapText="1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206" fontId="1" fillId="5" borderId="0" xfId="0" applyNumberFormat="1" applyFont="1" applyFill="1" applyBorder="1" applyAlignment="1">
      <x:alignment vertical="center" wrapText="1"/>
    </x:xf>
    <x:xf numFmtId="208" fontId="9" fillId="2" borderId="0" xfId="0" applyNumberFormat="1" applyFont="1" applyFill="1" applyBorder="1" applyAlignment="1">
      <x:alignment horizontal="right" vertical="center"/>
    </x:xf>
    <x:xf numFmtId="208" fontId="6" fillId="5" borderId="0" xfId="0" applyNumberFormat="1" applyFont="1" applyFill="1" applyBorder="1" applyAlignment="1">
      <x:alignment horizontal="right" vertical="center" wrapText="1"/>
    </x:xf>
    <x:xf numFmtId="209" fontId="9" fillId="2" borderId="0" xfId="0" applyNumberFormat="1" applyFont="1" applyFill="1" applyBorder="1" applyAlignment="1">
      <x:alignment horizontal="right" vertical="center"/>
    </x:xf>
    <x:xf numFmtId="209" fontId="6" fillId="5" borderId="0" xfId="0" applyNumberFormat="1" applyFont="1" applyFill="1" applyBorder="1" applyAlignment="1">
      <x:alignment horizontal="right" vertical="center" wrapText="1"/>
    </x:xf>
    <x:xf numFmtId="207" fontId="1" fillId="5" borderId="0" xfId="0" applyNumberFormat="1" applyFont="1" applyFill="1" applyBorder="1" applyAlignment="1">
      <x:alignment vertical="center" wrapText="1"/>
    </x:xf>
    <x:xf numFmtId="209" fontId="10" fillId="2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90879270d4287" /><Relationship Type="http://schemas.openxmlformats.org/officeDocument/2006/relationships/theme" Target="/xl/theme/theme1.xml" Id="Rb1a4f6da6875449a" /><Relationship Type="http://schemas.openxmlformats.org/officeDocument/2006/relationships/sharedStrings" Target="/xl/sharedStrings.xml" Id="Red98009ab47a4631" /><Relationship Type="http://schemas.openxmlformats.org/officeDocument/2006/relationships/worksheet" Target="/xl/worksheets/sheet1.xml" Id="Rcc72de2a443f4325" /><Relationship Type="http://schemas.openxmlformats.org/officeDocument/2006/relationships/worksheet" Target="/xl/worksheets/sheet2.xml" Id="R78c46ca2241448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A56"/>
  </x:sheetPr>
  <x:sheetViews>
    <x:sheetView showGridLines="0" workbookViewId="0"/>
  </x:sheetViews>
  <x:sheetFormatPr defaultRowHeight="15"/>
  <x:cols>
    <x:col min="1" max="1" width="2.5" hidden="0" customWidth="1"/>
    <x:col min="2" max="2" width="21" hidden="0" customWidth="1"/>
    <x:col min="3" max="3" width="31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18" hidden="0" customWidth="1"/>
    <x:col min="9" max="9" width="18" hidden="0" customWidth="1"/>
    <x:col min="10" max="10" width="3" hidden="0" customWidth="1"/>
    <x:col min="11" max="11" width="5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1" customHeight="1">
      <x:c r="A2" s="2"/>
      <x:c r="B2" s="4" t="str">
        <x:v>FinOps do projeto FIAP</x:v>
      </x:c>
      <x:c r="C2" s="5"/>
      <x:c r="D2" s="5"/>
      <x:c r="E2" s="5"/>
      <x:c r="F2" s="5"/>
      <x:c r="G2" s="5"/>
      <x:c r="H2" s="5"/>
      <x:c r="I2" s="5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2"/>
      <x:c r="B3" s="6" t="str">
        <x:v>Consulta 2026-10-27 | USD | AWS us-east-2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2" customHeight="1">
      <x:c r="A5" s="2"/>
      <x:c r="B5" s="9" t="str">
        <x:v>Consumo observado e orçamento total</x:v>
      </x:c>
      <x:c r="C5" s="9"/>
      <x:c r="D5" s="9"/>
      <x:c r="E5" s="9"/>
      <x:c r="F5" s="9"/>
      <x:c r="G5" s="9"/>
      <x:c r="H5" s="9"/>
      <x:c r="I5" s="9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2" customHeight="1">
      <x:c r="A6" s="2"/>
      <x:c r="B6" s="2" t="str">
        <x:v>Teto TOTAL do projeto</x:v>
      </x:c>
      <x:c r="C6" s="2"/>
      <x:c r="D6" s="2"/>
      <x:c r="E6" s="12" t="n">
        <x:f>IF(ISNUMBER('Medicoes'!E5),'Medicoes'!E5,"n.a.")</x:f>
        <x:v>140</x:v>
      </x:c>
      <x:c r="F6" s="2"/>
      <x:c r="G6" s="2"/>
      <x:c r="H6" s="2"/>
      <x:c r="I6" s="2"/>
      <x:c r="J6" s="2"/>
      <x:c r="K6" s="6" t="str">
        <x:v>US$140 é teto total, não limite mensal renovável.</x:v>
      </x:c>
      <x:c r="L6" s="2"/>
      <x:c r="M6" s="2"/>
      <x:c r="N6" s="2"/>
      <x:c r="O6" s="2"/>
      <x:c r="P6" s="2"/>
      <x:c r="Q6" s="2"/>
      <x:c r="R6" s="2"/>
      <x:c r="S6" s="2"/>
    </x:row>
    <x:row r="7" ht="22" customHeight="1">
      <x:c r="A7" s="2"/>
      <x:c r="B7" s="2" t="str">
        <x:v>Consumo AWS acumulado</x:v>
      </x:c>
      <x:c r="C7" s="2"/>
      <x:c r="D7" s="2"/>
      <x:c r="E7" s="12" t="n">
        <x:f>IF(ISNUMBER('Medicoes'!E6),'Medicoes'!E6,"n.a.")</x:f>
        <x:v>3.4142741034</x:v>
      </x:c>
      <x:c r="F7" s="2"/>
      <x:c r="G7" s="2"/>
      <x:c r="H7" s="2"/>
      <x:c r="I7" s="2"/>
      <x:c r="J7" s="2"/>
      <x:c r="K7" s="6" t="str">
        <x:v>CE estimado. Período completo em Medicoes.</x:v>
      </x:c>
      <x:c r="L7" s="2"/>
      <x:c r="M7" s="2"/>
      <x:c r="N7" s="2"/>
      <x:c r="O7" s="2"/>
      <x:c r="P7" s="2"/>
      <x:c r="Q7" s="2"/>
      <x:c r="R7" s="2"/>
      <x:c r="S7" s="2"/>
    </x:row>
    <x:row r="8" ht="22" customHeight="1">
      <x:c r="A8" s="2"/>
      <x:c r="B8" s="2" t="str">
        <x:v>Créditos restantes AWS</x:v>
      </x:c>
      <x:c r="C8" s="2"/>
      <x:c r="D8" s="2"/>
      <x:c r="E8" s="12" t="n">
        <x:f>IF(ISNUMBER('Medicoes'!E7),'Medicoes'!E7,"n.a.")</x:f>
        <x:v>136.59</x:v>
      </x:c>
      <x:c r="F8" s="2"/>
      <x:c r="G8" s="2"/>
      <x:c r="H8" s="2"/>
      <x:c r="I8" s="2"/>
      <x:c r="J8" s="2"/>
      <x:c r="K8" s="6" t="str">
        <x:v>Créditos: fotografia anterior, sem nova consulta.</x:v>
      </x:c>
      <x:c r="L8" s="2"/>
      <x:c r="M8" s="2"/>
      <x:c r="N8" s="2"/>
      <x:c r="O8" s="2"/>
      <x:c r="P8" s="2"/>
      <x:c r="Q8" s="2"/>
      <x:c r="R8" s="2"/>
      <x:c r="S8" s="2"/>
    </x:row>
    <x:row r="9" ht="22" customHeight="1">
      <x:c r="A9" s="2"/>
      <x:c r="B9" s="2" t="str">
        <x:v>Prazo do plano (dias)</x:v>
      </x:c>
      <x:c r="C9" s="2"/>
      <x:c r="D9" s="2"/>
      <x:c r="E9" s="13" t="n">
        <x:f>IF(ISNUMBER('Medicoes'!E8),'Medicoes'!E8,"n.a.")</x:f>
        <x:v>172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2" customHeight="1">
      <x:c r="A10" s="2"/>
      <x:c r="B10" s="2" t="str">
        <x:v>Escopo do consumo</x:v>
      </x:c>
      <x:c r="C10" s="2"/>
      <x:c r="D10" s="2"/>
      <x:c r="E10" s="2" t="str">
        <x:v>Conta AWS inteira</x:v>
      </x:c>
      <x:c r="F10" s="2"/>
      <x:c r="G10" s="2"/>
      <x:c r="H10" s="2"/>
      <x:c r="I10" s="2"/>
      <x:c r="J10" s="2"/>
      <x:c r="K10" s="6" t="str">
        <x:v>Não é uma alocação exclusiva por tag de projeto.</x:v>
      </x:c>
      <x:c r="L10" s="2"/>
      <x:c r="M10" s="2"/>
      <x:c r="N10" s="2"/>
      <x:c r="O10" s="2"/>
      <x:c r="P10" s="2"/>
      <x:c r="Q10" s="2"/>
      <x:c r="R10" s="2"/>
      <x:c r="S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2" customHeight="1">
      <x:c r="A12" s="2"/>
      <x:c r="B12" s="9" t="str">
        <x:v>Cenário para os próximos 30 dias</x:v>
      </x:c>
      <x:c r="C12" s="9"/>
      <x:c r="D12" s="9"/>
      <x:c r="E12" s="9"/>
      <x:c r="F12" s="9"/>
      <x:c r="G12" s="9"/>
      <x:c r="H12" s="9"/>
      <x:c r="I12" s="9"/>
      <x:c r="J12" s="2"/>
      <x:c r="K12" s="6" t="str">
        <x:v>Monitoramento mensal: US$30; avisos 15/24/30.</x:v>
      </x:c>
      <x:c r="L12" s="2"/>
      <x:c r="M12" s="2"/>
      <x:c r="N12" s="2"/>
      <x:c r="O12" s="2"/>
      <x:c r="P12" s="2"/>
      <x:c r="Q12" s="2"/>
      <x:c r="R12" s="2"/>
      <x:c r="S12" s="2"/>
    </x:row>
    <x:row r="13" ht="22" customHeight="1">
      <x:c r="A13" s="2"/>
      <x:c r="B13" s="2" t="str">
        <x:v>Subtotal calculado</x:v>
      </x:c>
      <x:c r="C13" s="2"/>
      <x:c r="D13" s="2"/>
      <x:c r="E13" s="26" t="n">
        <x:f>IF(COUNT(I23:I43)=0,"n.a.",SUM(I23:I43))</x:f>
        <x:v>2.1507464237497693</x:v>
      </x:c>
      <x:c r="F13" s="2"/>
      <x:c r="G13" s="2"/>
      <x:c r="H13" s="2"/>
      <x:c r="I13" s="2"/>
      <x:c r="J13" s="2"/>
      <x:c r="K13" s="6" t="str">
        <x:v>Somente parcelas numéricas disponíveis abaixo.</x:v>
      </x:c>
      <x:c r="L13" s="2"/>
      <x:c r="M13" s="2"/>
      <x:c r="N13" s="2"/>
      <x:c r="O13" s="2"/>
      <x:c r="P13" s="2"/>
      <x:c r="Q13" s="2"/>
      <x:c r="R13" s="2"/>
      <x:c r="S13" s="2"/>
    </x:row>
    <x:row r="14" ht="22" customHeight="1">
      <x:c r="A14" s="2"/>
      <x:c r="B14" s="2" t="str">
        <x:v>Custo completo</x:v>
      </x:c>
      <x:c r="C14" s="2"/>
      <x:c r="D14" s="2"/>
      <x:c r="E14" s="26" t="str">
        <x:f>IF(COUNT(I23:I43)=ROWS(I23:I43),SUM(I23:I43),"n.a.")</x:f>
        <x:v>n.a.</x:v>
      </x:c>
      <x:c r="F14" s="2"/>
      <x:c r="G14" s="2"/>
      <x:c r="H14" s="2"/>
      <x:c r="I14" s="2"/>
      <x:c r="J14" s="2"/>
      <x:c r="K14" s="6" t="str">
        <x:v>n.a. indica que faltam quantidades ou tarifas.</x:v>
      </x:c>
      <x:c r="L14" s="2"/>
      <x:c r="M14" s="2"/>
      <x:c r="N14" s="2"/>
      <x:c r="O14" s="2"/>
      <x:c r="P14" s="2"/>
      <x:c r="Q14" s="2"/>
      <x:c r="R14" s="2"/>
      <x:c r="S14" s="2"/>
    </x:row>
    <x:row r="15" ht="22" customHeight="1">
      <x:c r="A15" s="2"/>
      <x:c r="B15" s="2" t="str">
        <x:v>Escopo da projeção</x:v>
      </x:c>
      <x:c r="C15" s="2"/>
      <x:c r="D15" s="2"/>
      <x:c r="E15" s="2" t="str">
        <x:f>IF(COUNT(I23:I43)=ROWS(I23:I43),"Todas as parcelas calculadas","Parcial até fechar lacunas")</x:f>
        <x:v>Parcial até fechar lacunas</x:v>
      </x:c>
      <x:c r="F15" s="2"/>
      <x:c r="G15" s="2"/>
      <x:c r="H15" s="2"/>
      <x:c r="I15" s="2"/>
      <x:c r="J15" s="2"/>
      <x:c r="K15" s="6" t="str">
        <x:v>Budget: entrega por e-mail ainda não comprovada.</x:v>
      </x:c>
      <x:c r="L15" s="2"/>
      <x:c r="M15" s="2"/>
      <x:c r="N15" s="2"/>
      <x:c r="O15" s="2"/>
      <x:c r="P15" s="2"/>
      <x:c r="Q15" s="2"/>
      <x:c r="R15" s="2"/>
      <x:c r="S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6" t="str">
        <x:v>Referência paga antes de franquias e créditos.</x:v>
      </x:c>
      <x:c r="L16" s="2"/>
      <x:c r="M16" s="2"/>
      <x:c r="N16" s="2"/>
      <x:c r="O16" s="2"/>
      <x:c r="P16" s="2"/>
      <x:c r="Q16" s="2"/>
      <x:c r="R16" s="2"/>
      <x:c r="S16" s="2"/>
    </x:row>
    <x:row r="17" ht="22" customHeight="1">
      <x:c r="A17" s="2"/>
      <x:c r="B17" s="2" t="str">
        <x:v>Ciclos batch em 30 dias</x:v>
      </x:c>
      <x:c r="C17" s="2"/>
      <x:c r="D17" s="2"/>
      <x:c r="E17" s="17" t="n">
        <x:v>4</x:v>
      </x:c>
      <x:c r="F17" s="2"/>
      <x:c r="G17" s="2"/>
      <x:c r="H17" s="2"/>
      <x:c r="I17" s="2"/>
      <x:c r="J17" s="2"/>
      <x:c r="K17" s="6" t="str">
        <x:v>Hipótese ajustável; não cria agendamento.</x:v>
      </x:c>
      <x:c r="L17" s="2"/>
      <x:c r="M17" s="2"/>
      <x:c r="N17" s="2"/>
      <x:c r="O17" s="2"/>
      <x:c r="P17" s="2"/>
      <x:c r="Q17" s="2"/>
      <x:c r="R17" s="2"/>
      <x:c r="S17" s="2"/>
    </x:row>
    <x:row r="18" ht="22" customHeight="1">
      <x:c r="A18" s="2"/>
      <x:c r="B18" s="2" t="str">
        <x:v>Horizonte fixo (dias)</x:v>
      </x:c>
      <x:c r="C18" s="2"/>
      <x:c r="D18" s="2"/>
      <x:c r="E18" s="11" t="n">
        <x:f>30</x:f>
        <x:v>30</x:v>
      </x:c>
      <x:c r="F18" s="2"/>
      <x:c r="G18" s="2"/>
      <x:c r="H18" s="2"/>
      <x:c r="I18" s="2"/>
      <x:c r="J18" s="2"/>
      <x:c r="K18" s="6" t="str">
        <x:v>Prazo fixo de 30 dias para esta projeção.</x:v>
      </x:c>
      <x:c r="L18" s="2"/>
      <x:c r="M18" s="2"/>
      <x:c r="N18" s="2"/>
      <x:c r="O18" s="2"/>
      <x:c r="P18" s="2"/>
      <x:c r="Q18" s="2"/>
      <x:c r="R18" s="2"/>
      <x:c r="S18" s="2"/>
    </x:row>
    <x:row r="19" ht="22" customHeight="1">
      <x:c r="A19" s="2"/>
      <x:c r="B19" s="2" t="str">
        <x:v>Estratégia batch</x:v>
      </x:c>
      <x:c r="C19" s="2"/>
      <x:c r="D19" s="2"/>
      <x:c r="E19" s="2" t="str">
        <x:v>Sob demanda</x:v>
      </x:c>
      <x:c r="F19" s="2"/>
      <x:c r="G19" s="2"/>
      <x:c r="H19" s="2"/>
      <x:c r="I19" s="2"/>
      <x:c r="J19" s="2"/>
      <x:c r="K19" s="6" t="str">
        <x:f>IF(ISNUMBER(E17),E17&amp;" batches + "&amp;E17&amp;" replays/30d. Hipótese.","Informe a hipótese de ciclos.")</x:f>
        <x:v>4 batches + 4 replays/30d. Hipótese.</x:v>
      </x:c>
      <x:c r="L19" s="2"/>
      <x:c r="M19" s="2"/>
      <x:c r="N19" s="2"/>
      <x:c r="O19" s="2"/>
      <x:c r="P19" s="2"/>
      <x:c r="Q19" s="2"/>
      <x:c r="R19" s="2"/>
      <x:c r="S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34" customHeight="1">
      <x:c r="A22" s="2"/>
      <x:c r="B22" s="21" t="str">
        <x:v>Serviço</x:v>
      </x:c>
      <x:c r="C22" s="21" t="str">
        <x:v>Parcela</x:v>
      </x:c>
      <x:c r="D22" s="21" t="str">
        <x:v>Unidade</x:v>
      </x:c>
      <x:c r="E22" s="21" t="str">
        <x:v>Qtde. medida</x:v>
      </x:c>
      <x:c r="F22" s="21" t="str">
        <x:v>USD / unidade</x:v>
      </x:c>
      <x:c r="G22" s="21" t="str">
        <x:v>Fator 30 dias</x:v>
      </x:c>
      <x:c r="H22" s="21" t="str">
        <x:v>Qtde. projetada</x:v>
      </x:c>
      <x:c r="I22" s="21" t="str">
        <x:v>Custo 30 dias</x:v>
      </x:c>
      <x:c r="J22" s="2"/>
      <x:c r="K22" s="24" t="str">
        <x:v>Observação</x:v>
      </x:c>
      <x:c r="L22" s="2"/>
      <x:c r="M22" s="2"/>
      <x:c r="N22" s="2"/>
      <x:c r="O22" s="2"/>
      <x:c r="P22" s="2"/>
      <x:c r="Q22" s="2"/>
      <x:c r="R22" s="2"/>
      <x:c r="S22" s="2"/>
    </x:row>
    <x:row r="23" ht="32" customHeight="1">
      <x:c r="A23" s="2"/>
      <x:c r="B23" s="43" t="str">
        <x:f>'Medicoes'!C12</x:f>
        <x:v>AWS Glue</x:v>
      </x:c>
      <x:c r="C23" s="43" t="str">
        <x:f>'Medicoes'!D12</x:f>
        <x:v>Bronze batch</x:v>
      </x:c>
      <x:c r="D23" s="43" t="str">
        <x:f>'Medicoes'!F12</x:f>
        <x:v>DPU-hora</x:v>
      </x:c>
      <x:c r="E23" s="45" t="n">
        <x:f>IF(ISNUMBER('Medicoes'!E12),'Medicoes'!E12,"n.a.")</x:f>
        <x:v>0.08138888888888889</x:v>
      </x:c>
      <x:c r="F23" s="46" t="n">
        <x:f>IF(ISNUMBER('Medicoes'!G12),'Medicoes'!G12,"n.a.")</x:f>
        <x:v>0.44</x:v>
      </x:c>
      <x:c r="G23" s="47" t="n">
        <x:f>IF(AND(ISNUMBER($E$17),$E$17&gt;=0),$E$17,"n.a.")</x:f>
        <x:v>4</x:v>
      </x:c>
      <x:c r="H23" s="47" t="n">
        <x:f>IF(AND(ISNUMBER(E23),ISNUMBER(G23)),E23*G23,"n.a.")</x:f>
        <x:v>0.32555555555555554</x:v>
      </x:c>
      <x:c r="I23" s="48" t="n">
        <x:f>IF(AND(ISNUMBER(F23),ISNUMBER(H23)),F23*H23,"n.a.")</x:f>
        <x:v>0.14324444444444445</x:v>
      </x:c>
      <x:c r="J23" s="2"/>
      <x:c r="K23" s="54" t="str">
        <x:v>DPUSeconds / 3.600; configuração da referência.</x:v>
      </x:c>
      <x:c r="L23" s="2"/>
      <x:c r="M23" s="2"/>
      <x:c r="N23" s="2"/>
      <x:c r="O23" s="2"/>
      <x:c r="P23" s="2"/>
      <x:c r="Q23" s="2"/>
      <x:c r="R23" s="2"/>
      <x:c r="S23" s="2"/>
    </x:row>
    <x:row r="24" ht="32" customHeight="1">
      <x:c r="A24" s="2"/>
      <x:c r="B24" s="44" t="str">
        <x:f>'Medicoes'!C13</x:f>
        <x:v>AWS Glue</x:v>
      </x:c>
      <x:c r="C24" s="44" t="str">
        <x:f>'Medicoes'!D13</x:f>
        <x:v>Silver batch</x:v>
      </x:c>
      <x:c r="D24" s="44" t="str">
        <x:f>'Medicoes'!F13</x:f>
        <x:v>DPU-hora</x:v>
      </x:c>
      <x:c r="E24" s="49" t="n">
        <x:f>IF(ISNUMBER('Medicoes'!E13),'Medicoes'!E13,"n.a.")</x:f>
        <x:v>0.1436111111111111</x:v>
      </x:c>
      <x:c r="F24" s="50" t="n">
        <x:f>IF(ISNUMBER('Medicoes'!G13),'Medicoes'!G13,"n.a.")</x:f>
        <x:v>0.44</x:v>
      </x:c>
      <x:c r="G24" s="51" t="n">
        <x:f>IF(AND(ISNUMBER($E$17),$E$17&gt;=0),$E$17,"n.a.")</x:f>
        <x:v>4</x:v>
      </x:c>
      <x:c r="H24" s="51" t="n">
        <x:f>IF(AND(ISNUMBER(E24),ISNUMBER(G24)),E24*G24,"n.a.")</x:f>
        <x:v>0.5744444444444444</x:v>
      </x:c>
      <x:c r="I24" s="52" t="n">
        <x:f>IF(AND(ISNUMBER(F24),ISNUMBER(H24)),F24*H24,"n.a.")</x:f>
        <x:v>0.25275555555555557</x:v>
      </x:c>
      <x:c r="J24" s="2"/>
      <x:c r="K24" s="54" t="str">
        <x:v>DPUSeconds / 3.600; configuração da referência.</x:v>
      </x:c>
      <x:c r="L24" s="2"/>
      <x:c r="M24" s="2"/>
      <x:c r="N24" s="2"/>
      <x:c r="O24" s="2"/>
      <x:c r="P24" s="2"/>
      <x:c r="Q24" s="2"/>
      <x:c r="R24" s="2"/>
      <x:c r="S24" s="2"/>
    </x:row>
    <x:row r="25" ht="32" customHeight="1">
      <x:c r="A25" s="2"/>
      <x:c r="B25" s="43" t="str">
        <x:f>'Medicoes'!C14</x:f>
        <x:v>AWS Glue</x:v>
      </x:c>
      <x:c r="C25" s="43" t="str">
        <x:f>'Medicoes'!D14</x:f>
        <x:v>Gold batch</x:v>
      </x:c>
      <x:c r="D25" s="43" t="str">
        <x:f>'Medicoes'!F14</x:f>
        <x:v>DPU-hora</x:v>
      </x:c>
      <x:c r="E25" s="45" t="n">
        <x:f>IF(ISNUMBER('Medicoes'!E14),'Medicoes'!E14,"n.a.")</x:f>
        <x:v>0.085</x:v>
      </x:c>
      <x:c r="F25" s="46" t="n">
        <x:f>IF(ISNUMBER('Medicoes'!G14),'Medicoes'!G14,"n.a.")</x:f>
        <x:v>0.44</x:v>
      </x:c>
      <x:c r="G25" s="47" t="n">
        <x:f>IF(AND(ISNUMBER($E$17),$E$17&gt;=0),$E$17,"n.a.")</x:f>
        <x:v>4</x:v>
      </x:c>
      <x:c r="H25" s="47" t="n">
        <x:f>IF(AND(ISNUMBER(E25),ISNUMBER(G25)),E25*G25,"n.a.")</x:f>
        <x:v>0.34</x:v>
      </x:c>
      <x:c r="I25" s="48" t="n">
        <x:f>IF(AND(ISNUMBER(F25),ISNUMBER(H25)),F25*H25,"n.a.")</x:f>
        <x:v>0.1496</x:v>
      </x:c>
      <x:c r="J25" s="2"/>
      <x:c r="K25" s="54" t="str">
        <x:v>DPUSeconds / 3.600. Fixture desativada.</x:v>
      </x:c>
      <x:c r="L25" s="2"/>
      <x:c r="M25" s="2"/>
      <x:c r="N25" s="2"/>
      <x:c r="O25" s="2"/>
      <x:c r="P25" s="2"/>
      <x:c r="Q25" s="2"/>
      <x:c r="R25" s="2"/>
      <x:c r="S25" s="2"/>
    </x:row>
    <x:row r="26" ht="32" customHeight="1">
      <x:c r="A26" s="2"/>
      <x:c r="B26" s="44" t="str">
        <x:f>'Medicoes'!C15</x:f>
        <x:v>Amazon S3</x:v>
      </x:c>
      <x:c r="C26" s="44" t="str">
        <x:f>'Medicoes'!D15</x:f>
        <x:v>Armazenamento Standard</x:v>
      </x:c>
      <x:c r="D26" s="44" t="str">
        <x:f>'Medicoes'!F15</x:f>
        <x:v>GB-mês</x:v>
      </x:c>
      <x:c r="E26" s="49" t="n">
        <x:f>IF(ISNUMBER('Medicoes'!E15),'Medicoes'!E15,"n.a.")</x:f>
        <x:v>0.2551854243502021</x:v>
      </x:c>
      <x:c r="F26" s="50" t="n">
        <x:f>IF(ISNUMBER('Medicoes'!G15),'Medicoes'!G15,"n.a.")</x:f>
        <x:v>0.023</x:v>
      </x:c>
      <x:c r="G26" s="51" t="n">
        <x:f>1</x:f>
        <x:v>1</x:v>
      </x:c>
      <x:c r="H26" s="51" t="n">
        <x:f>IF(AND(ISNUMBER(E26),ISNUMBER('Medicoes'!R15),ISNUMBER($E$17),$E$17&gt;=0),E26+'Medicoes'!R15*$E$17/2,"n.a.")</x:f>
        <x:v>0.5253673931583762</x:v>
      </x:c>
      <x:c r="I26" s="52" t="n">
        <x:f>IF(AND(ISNUMBER(F26),ISNUMBER(H26)),F26*H26,"n.a.")</x:f>
        <x:v>0.012083450042642652</x:v>
      </x:c>
      <x:c r="J26" s="2"/>
      <x:c r="K26" s="54" t="str">
        <x:v>Estoque + crescimento médio de batches e replays.</x:v>
      </x:c>
      <x:c r="L26" s="2"/>
      <x:c r="M26" s="2"/>
      <x:c r="N26" s="2"/>
      <x:c r="O26" s="2"/>
      <x:c r="P26" s="2"/>
      <x:c r="Q26" s="2"/>
      <x:c r="R26" s="2"/>
      <x:c r="S26" s="2"/>
    </x:row>
    <x:row r="27" ht="32" customHeight="1">
      <x:c r="A27" s="2"/>
      <x:c r="B27" s="43" t="str">
        <x:f>'Medicoes'!C16</x:f>
        <x:v>Amazon S3</x:v>
      </x:c>
      <x:c r="C27" s="43" t="str">
        <x:f>'Medicoes'!D16</x:f>
        <x:v>PUT/COPY/POST/LIST</x:v>
      </x:c>
      <x:c r="D27" s="43" t="str">
        <x:f>'Medicoes'!F16</x:f>
        <x:v>requests</x:v>
      </x:c>
      <x:c r="E27" s="45" t="n">
        <x:f>IF(ISNUMBER('Medicoes'!E16),'Medicoes'!E16,"n.a.")</x:f>
        <x:v>690</x:v>
      </x:c>
      <x:c r="F27" s="46" t="n">
        <x:f>IF(ISNUMBER('Medicoes'!G16),'Medicoes'!G16,"n.a.")</x:f>
        <x:v>0.000005</x:v>
      </x:c>
      <x:c r="G27" s="47" t="n">
        <x:f>IF(AND(ISNUMBER('Medicoes'!Q16),'Medicoes'!Q16&gt;0),$E$18/'Medicoes'!Q16,"n.a.")</x:f>
        <x:v>5</x:v>
      </x:c>
      <x:c r="H27" s="47" t="n">
        <x:f>IF(AND(ISNUMBER(E27),ISNUMBER(G27)),E27*G27,"n.a.")</x:f>
        <x:v>3450</x:v>
      </x:c>
      <x:c r="I27" s="48" t="n">
        <x:f>IF(AND(ISNUMBER(F27),ISNUMBER(H27)),F27*H27,"n.a.")</x:f>
        <x:v>0.01725</x:v>
      </x:c>
      <x:c r="J27" s="2"/>
      <x:c r="K27" s="54" t="str">
        <x:v>Proxy de 6d UTC de apoio; sem Bronze/replay.</x:v>
      </x:c>
      <x:c r="L27" s="2"/>
      <x:c r="M27" s="2"/>
      <x:c r="N27" s="2"/>
      <x:c r="O27" s="2"/>
      <x:c r="P27" s="2"/>
      <x:c r="Q27" s="2"/>
      <x:c r="R27" s="2"/>
      <x:c r="S27" s="2"/>
    </x:row>
    <x:row r="28" ht="32" customHeight="1">
      <x:c r="A28" s="2"/>
      <x:c r="B28" s="44" t="str">
        <x:f>'Medicoes'!C17</x:f>
        <x:v>Amazon S3</x:v>
      </x:c>
      <x:c r="C28" s="44" t="str">
        <x:f>'Medicoes'!D17</x:f>
        <x:v>GET e outras Tier2</x:v>
      </x:c>
      <x:c r="D28" s="44" t="str">
        <x:f>'Medicoes'!F17</x:f>
        <x:v>requests</x:v>
      </x:c>
      <x:c r="E28" s="49" t="n">
        <x:f>IF(ISNUMBER('Medicoes'!E17),'Medicoes'!E17,"n.a.")</x:f>
        <x:v>1032</x:v>
      </x:c>
      <x:c r="F28" s="78" t="n">
        <x:f>IF(ISNUMBER('Medicoes'!G17),'Medicoes'!G17,"n.a.")</x:f>
        <x:v>4e-7</x:v>
      </x:c>
      <x:c r="G28" s="51" t="n">
        <x:f>IF(AND(ISNUMBER('Medicoes'!Q17),'Medicoes'!Q17&gt;0),$E$18/'Medicoes'!Q17,"n.a.")</x:f>
        <x:v>5</x:v>
      </x:c>
      <x:c r="H28" s="51" t="n">
        <x:f>IF(AND(ISNUMBER(E28),ISNUMBER(G28)),E28*G28,"n.a.")</x:f>
        <x:v>5160</x:v>
      </x:c>
      <x:c r="I28" s="52" t="n">
        <x:f>IF(AND(ISNUMBER(F28),ISNUMBER(H28)),F28*H28,"n.a.")</x:f>
        <x:v>0.002064</x:v>
      </x:c>
      <x:c r="J28" s="2"/>
      <x:c r="K28" s="54" t="str">
        <x:v>Proxy de 6d UTC de apoio; sem Bronze/replay.</x:v>
      </x:c>
      <x:c r="L28" s="2"/>
      <x:c r="M28" s="2"/>
      <x:c r="N28" s="2"/>
      <x:c r="O28" s="2"/>
      <x:c r="P28" s="2"/>
      <x:c r="Q28" s="2"/>
      <x:c r="R28" s="2"/>
      <x:c r="S28" s="2"/>
    </x:row>
    <x:row r="29" ht="32" customHeight="1">
      <x:c r="A29" s="2"/>
      <x:c r="B29" s="43" t="str">
        <x:f>'Medicoes'!C18</x:f>
        <x:v>CloudWatch Logs</x:v>
      </x:c>
      <x:c r="C29" s="43" t="str">
        <x:f>'Medicoes'!D18</x:f>
        <x:v>Ingestão Standard</x:v>
      </x:c>
      <x:c r="D29" s="43" t="str">
        <x:f>'Medicoes'!F18</x:f>
        <x:v>GB</x:v>
      </x:c>
      <x:c r="E29" s="45" t="n">
        <x:f>IF(ISNUMBER('Medicoes'!E18),'Medicoes'!E18,"n.a.")</x:f>
        <x:v>0.017676384188234806</x:v>
      </x:c>
      <x:c r="F29" s="46" t="n">
        <x:f>IF(ISNUMBER('Medicoes'!G18),'Medicoes'!G18,"n.a.")</x:f>
        <x:v>0.5</x:v>
      </x:c>
      <x:c r="G29" s="47" t="n">
        <x:f>IF(AND(ISNUMBER('Medicoes'!Q18),'Medicoes'!Q18&gt;0),$E$18/'Medicoes'!Q18,"n.a.")</x:f>
        <x:v>4.285714285714286</x:v>
      </x:c>
      <x:c r="H29" s="47" t="n">
        <x:f>IF(AND(ISNUMBER(E29),ISNUMBER(G29)),E29*G29,"n.a.")</x:f>
        <x:v>0.07575593223529202</x:v>
      </x:c>
      <x:c r="I29" s="48" t="n">
        <x:f>IF(AND(ISNUMBER(F29),ISNUMBER(H29)),F29*H29,"n.a.")</x:f>
        <x:v>0.03787796611764601</x:v>
      </x:c>
      <x:c r="J29" s="2"/>
      <x:c r="K29" s="54" t="str">
        <x:v>Ritmo histórico com previews; sem repeti-los.</x:v>
      </x:c>
      <x:c r="L29" s="2"/>
      <x:c r="M29" s="2"/>
      <x:c r="N29" s="2"/>
      <x:c r="O29" s="2"/>
      <x:c r="P29" s="2"/>
      <x:c r="Q29" s="2"/>
      <x:c r="R29" s="2"/>
      <x:c r="S29" s="2"/>
    </x:row>
    <x:row r="30" ht="32" customHeight="1">
      <x:c r="A30" s="2"/>
      <x:c r="B30" s="44" t="str">
        <x:f>'Medicoes'!C19</x:f>
        <x:v>CloudWatch Logs</x:v>
      </x:c>
      <x:c r="C30" s="44" t="str">
        <x:f>'Medicoes'!D19</x:f>
        <x:v>Arquivo de logs atual</x:v>
      </x:c>
      <x:c r="D30" s="44" t="str">
        <x:f>'Medicoes'!F19</x:f>
        <x:v>GB-mês</x:v>
      </x:c>
      <x:c r="E30" s="49" t="n">
        <x:f>IF(ISNUMBER('Medicoes'!E19),'Medicoes'!E19,"n.a.")</x:f>
        <x:v>0.006907830014824867</x:v>
      </x:c>
      <x:c r="F30" s="50" t="n">
        <x:f>IF(ISNUMBER('Medicoes'!G19),'Medicoes'!G19,"n.a.")</x:f>
        <x:v>0.03</x:v>
      </x:c>
      <x:c r="G30" s="51" t="n">
        <x:f>1</x:f>
        <x:v>1</x:v>
      </x:c>
      <x:c r="H30" s="51" t="n">
        <x:f>IF(AND(ISNUMBER(E30),ISNUMBER(G30)),E30*G30,"n.a.")</x:f>
        <x:v>0.006907830014824867</x:v>
      </x:c>
      <x:c r="I30" s="52" t="n">
        <x:f>IF(AND(ISNUMBER(F30),ISNUMBER(H30)),F30*H30,"n.a.")</x:f>
        <x:v>0.00020723490044474602</x:v>
      </x:c>
      <x:c r="J30" s="2"/>
      <x:c r="K30" s="54" t="str">
        <x:v>Estoque atual por 30d. Crescimento em outra linha.</x:v>
      </x:c>
      <x:c r="L30" s="2"/>
      <x:c r="M30" s="2"/>
      <x:c r="N30" s="2"/>
      <x:c r="O30" s="2"/>
      <x:c r="P30" s="2"/>
      <x:c r="Q30" s="2"/>
      <x:c r="R30" s="2"/>
      <x:c r="S30" s="2"/>
    </x:row>
    <x:row r="31" ht="32" customHeight="1">
      <x:c r="A31" s="2"/>
      <x:c r="B31" s="43" t="str">
        <x:f>'Medicoes'!C20</x:f>
        <x:v>CloudWatch Logs</x:v>
      </x:c>
      <x:c r="C31" s="43" t="str">
        <x:f>'Medicoes'!D20</x:f>
        <x:v>Crescimento futuro do arquivo</x:v>
      </x:c>
      <x:c r="D31" s="43" t="str">
        <x:f>'Medicoes'!F20</x:f>
        <x:v>GB-mês</x:v>
      </x:c>
      <x:c r="E31" s="45" t="str">
        <x:f>IF(ISNUMBER('Medicoes'!E20),'Medicoes'!E20,"n.a.")</x:f>
        <x:v>n.a.</x:v>
      </x:c>
      <x:c r="F31" s="46" t="n">
        <x:f>IF(ISNUMBER('Medicoes'!G20),'Medicoes'!G20,"n.a.")</x:f>
        <x:v>0.03</x:v>
      </x:c>
      <x:c r="G31" s="47" t="str">
        <x:f>"n.a."</x:f>
        <x:v>n.a.</x:v>
      </x:c>
      <x:c r="H31" s="47" t="str">
        <x:f>IF(AND(ISNUMBER(E31),ISNUMBER(G31)),E31*G31,"n.a.")</x:f>
        <x:v>n.a.</x:v>
      </x:c>
      <x:c r="I31" s="48" t="str">
        <x:f>IF(AND(ISNUMBER(F31),ISNUMBER(H31)),F31*H31,"n.a.")</x:f>
        <x:v>n.a.</x:v>
      </x:c>
      <x:c r="J31" s="2"/>
      <x:c r="K31" s="54" t="str">
        <x:v>Amostras estáveis. Geração por ciclo não medida.</x:v>
      </x:c>
      <x:c r="L31" s="2"/>
      <x:c r="M31" s="2"/>
      <x:c r="N31" s="2"/>
      <x:c r="O31" s="2"/>
      <x:c r="P31" s="2"/>
      <x:c r="Q31" s="2"/>
      <x:c r="R31" s="2"/>
      <x:c r="S31" s="2"/>
    </x:row>
    <x:row r="32" ht="32" customHeight="1">
      <x:c r="A32" s="2"/>
      <x:c r="B32" s="44" t="str">
        <x:f>'Medicoes'!C21</x:f>
        <x:v>Amazon CloudWatch</x:v>
      </x:c>
      <x:c r="C32" s="44" t="str">
        <x:f>'Medicoes'!D21</x:f>
        <x:v>Métricas customizadas</x:v>
      </x:c>
      <x:c r="D32" s="44" t="str">
        <x:f>'Medicoes'!F21</x:f>
        <x:v>métrica-hora</x:v>
      </x:c>
      <x:c r="E32" s="49" t="n">
        <x:f>IF(ISNUMBER('Medicoes'!E21),'Medicoes'!E21,"n.a.")</x:f>
        <x:v>314</x:v>
      </x:c>
      <x:c r="F32" s="50" t="n">
        <x:f>IF(ISNUMBER('Medicoes'!G21),'Medicoes'!G21,"n.a.")</x:f>
        <x:v>0.0004166666666666667</x:v>
      </x:c>
      <x:c r="G32" s="51" t="n">
        <x:f>IF(AND(ISNUMBER($E$17),$E$17&gt;=0),$E$17,"n.a.")</x:f>
        <x:v>4</x:v>
      </x:c>
      <x:c r="H32" s="51" t="n">
        <x:f>IF(AND(ISNUMBER(E32),ISNUMBER(G32)),E32*G32,"n.a.")</x:f>
        <x:v>1256</x:v>
      </x:c>
      <x:c r="I32" s="52" t="n">
        <x:f>IF(AND(ISNUMBER(F32),ISNUMBER(H32)),F32*H32,"n.a.")</x:f>
        <x:v>0.5233333333333333</x:v>
      </x:c>
      <x:c r="J32" s="2"/>
      <x:c r="K32" s="54" t="str">
        <x:v>314 métrica-hora/ciclo; tarifa normalizada por 720h.</x:v>
      </x:c>
      <x:c r="L32" s="2"/>
      <x:c r="M32" s="2"/>
      <x:c r="N32" s="2"/>
      <x:c r="O32" s="2"/>
      <x:c r="P32" s="2"/>
      <x:c r="Q32" s="2"/>
      <x:c r="R32" s="2"/>
      <x:c r="S32" s="2"/>
    </x:row>
    <x:row r="33" ht="32" customHeight="1">
      <x:c r="A33" s="2"/>
      <x:c r="B33" s="43" t="str">
        <x:f>'Medicoes'!C22</x:f>
        <x:v>Amazon CloudWatch</x:v>
      </x:c>
      <x:c r="C33" s="43" t="str">
        <x:f>'Medicoes'!D22</x:f>
        <x:v>Cinco alarmes Standard</x:v>
      </x:c>
      <x:c r="D33" s="43" t="str">
        <x:f>'Medicoes'!F22</x:f>
        <x:v>métrica-alarme-mês</x:v>
      </x:c>
      <x:c r="E33" s="45" t="n">
        <x:f>IF(ISNUMBER('Medicoes'!E22),'Medicoes'!E22,"n.a.")</x:f>
        <x:v>5</x:v>
      </x:c>
      <x:c r="F33" s="46" t="n">
        <x:f>IF(ISNUMBER('Medicoes'!G22),'Medicoes'!G22,"n.a.")</x:f>
        <x:v>0.1</x:v>
      </x:c>
      <x:c r="G33" s="47" t="n">
        <x:f>1</x:f>
        <x:v>1</x:v>
      </x:c>
      <x:c r="H33" s="47" t="n">
        <x:f>IF(AND(ISNUMBER(E33),ISNUMBER(G33)),E33*G33,"n.a.")</x:f>
        <x:v>5</x:v>
      </x:c>
      <x:c r="I33" s="48" t="n">
        <x:f>IF(AND(ISNUMBER(F33),ISNUMBER(H33)),F33*H33,"n.a.")</x:f>
        <x:v>0.5</x:v>
      </x:c>
      <x:c r="J33" s="2"/>
      <x:c r="K33" s="54" t="str">
        <x:v>Alarmes mantidos por 30d. E-mail não comprovado.</x:v>
      </x:c>
      <x:c r="L33" s="2"/>
      <x:c r="M33" s="2"/>
      <x:c r="N33" s="2"/>
      <x:c r="O33" s="2"/>
      <x:c r="P33" s="2"/>
      <x:c r="Q33" s="2"/>
      <x:c r="R33" s="2"/>
      <x:c r="S33" s="2"/>
    </x:row>
    <x:row r="34" ht="32" customHeight="1">
      <x:c r="A34" s="2"/>
      <x:c r="B34" s="44" t="str">
        <x:f>'Medicoes'!C23</x:f>
        <x:v>AWS Lambda</x:v>
      </x:c>
      <x:c r="C34" s="44" t="str">
        <x:f>'Medicoes'!D23</x:f>
        <x:v>Consumidor x86,256MB</x:v>
      </x:c>
      <x:c r="D34" s="44" t="str">
        <x:f>'Medicoes'!F23</x:f>
        <x:v>GB-segundo</x:v>
      </x:c>
      <x:c r="E34" s="87" t="n">
        <x:f>IF(ISNUMBER('Medicoes'!E23),'Medicoes'!E23,"n.a.")</x:f>
        <x:v>4.40675</x:v>
      </x:c>
      <x:c r="F34" s="89" t="n">
        <x:f>IF(ISNUMBER('Medicoes'!G23),'Medicoes'!G23,"n.a.")</x:f>
        <x:v>0.0000166667</x:v>
      </x:c>
      <x:c r="G34" s="51" t="n">
        <x:f>IF(AND(ISNUMBER($E$17),$E$17&gt;=0),$E$17,"n.a.")</x:f>
        <x:v>4</x:v>
      </x:c>
      <x:c r="H34" s="51" t="n">
        <x:f>IF(AND(ISNUMBER(E34),ISNUMBER(G34)),E34*G34,"n.a.")</x:f>
        <x:v>17.627</x:v>
      </x:c>
      <x:c r="I34" s="52" t="n">
        <x:f>IF(AND(ISNUMBER(F34),ISNUMBER(H34)),F34*H34,"n.a.")</x:f>
        <x:v>0.0002937839209</x:v>
      </x:c>
      <x:c r="J34" s="2"/>
      <x:c r="K34" s="54" t="str">
        <x:v>4,40675 GB-s/replay; 39 REPORTs; 256MB.</x:v>
      </x:c>
      <x:c r="L34" s="2"/>
      <x:c r="M34" s="2"/>
      <x:c r="N34" s="2"/>
      <x:c r="O34" s="2"/>
      <x:c r="P34" s="2"/>
      <x:c r="Q34" s="2"/>
      <x:c r="R34" s="2"/>
      <x:c r="S34" s="2"/>
    </x:row>
    <x:row r="35" ht="32" customHeight="1">
      <x:c r="A35" s="2"/>
      <x:c r="B35" s="43" t="str">
        <x:f>'Medicoes'!C24</x:f>
        <x:v>AWS Lambda</x:v>
      </x:c>
      <x:c r="C35" s="43" t="str">
        <x:f>'Medicoes'!D24</x:f>
        <x:v>Invocações do replay</x:v>
      </x:c>
      <x:c r="D35" s="43" t="str">
        <x:f>'Medicoes'!F24</x:f>
        <x:v>requests</x:v>
      </x:c>
      <x:c r="E35" s="45" t="n">
        <x:f>IF(ISNUMBER('Medicoes'!E24),'Medicoes'!E24,"n.a.")</x:f>
        <x:v>39</x:v>
      </x:c>
      <x:c r="F35" s="80" t="n">
        <x:f>IF(ISNUMBER('Medicoes'!G24),'Medicoes'!G24,"n.a.")</x:f>
        <x:v>2e-7</x:v>
      </x:c>
      <x:c r="G35" s="47" t="n">
        <x:f>IF(AND(ISNUMBER($E$17),$E$17&gt;=0),$E$17,"n.a.")</x:f>
        <x:v>4</x:v>
      </x:c>
      <x:c r="H35" s="47" t="n">
        <x:f>IF(AND(ISNUMBER(E35),ISNUMBER(G35)),E35*G35,"n.a.")</x:f>
        <x:v>156</x:v>
      </x:c>
      <x:c r="I35" s="48" t="n">
        <x:f>IF(AND(ISNUMBER(F35),ISNUMBER(H35)),F35*H35,"n.a.")</x:f>
        <x:v>0.0000312</x:v>
      </x:c>
      <x:c r="J35" s="2"/>
      <x:c r="K35" s="54" t="str">
        <x:v>39 invocações/replay; não é fluxo ao vivo.</x:v>
      </x:c>
      <x:c r="L35" s="2"/>
      <x:c r="M35" s="2"/>
      <x:c r="N35" s="2"/>
      <x:c r="O35" s="2"/>
      <x:c r="P35" s="2"/>
      <x:c r="Q35" s="2"/>
      <x:c r="R35" s="2"/>
      <x:c r="S35" s="2"/>
    </x:row>
    <x:row r="36" ht="32" customHeight="1">
      <x:c r="A36" s="2"/>
      <x:c r="B36" s="44" t="str">
        <x:f>'Medicoes'!C25</x:f>
        <x:v>Amazon SQS</x:v>
      </x:c>
      <x:c r="C36" s="44" t="str">
        <x:f>'Medicoes'!D25</x:f>
        <x:v>Requests Standard, incluindo polling</x:v>
      </x:c>
      <x:c r="D36" s="44" t="str">
        <x:f>'Medicoes'!F25</x:f>
        <x:v>requests</x:v>
      </x:c>
      <x:c r="E36" s="49" t="n">
        <x:f>IF(ISNUMBER('Medicoes'!E25),'Medicoes'!E25,"n.a.")</x:f>
        <x:v>55158</x:v>
      </x:c>
      <x:c r="F36" s="78" t="n">
        <x:f>IF(ISNUMBER('Medicoes'!G25),'Medicoes'!G25,"n.a.")</x:f>
        <x:v>4e-7</x:v>
      </x:c>
      <x:c r="G36" s="51" t="n">
        <x:f>IF(AND(ISNUMBER('Medicoes'!Q25),'Medicoes'!Q25&gt;0),$E$18/'Medicoes'!Q25,"n.a.")</x:f>
        <x:v>5</x:v>
      </x:c>
      <x:c r="H36" s="51" t="n">
        <x:f>IF(AND(ISNUMBER(E36),ISNUMBER(G36)),E36*G36,"n.a.")</x:f>
        <x:v>275790</x:v>
      </x:c>
      <x:c r="I36" s="52" t="n">
        <x:f>IF(AND(ISNUMBER(F36),ISNUMBER(H36)),F36*H36,"n.a.")</x:f>
        <x:v>0.110316</x:v>
      </x:c>
      <x:c r="J36" s="2"/>
      <x:c r="K36" s="54" t="str">
        <x:v>Proxy 6d; polling incluído; sem Bronze/replay.</x:v>
      </x:c>
      <x:c r="L36" s="2"/>
      <x:c r="M36" s="2"/>
      <x:c r="N36" s="2"/>
      <x:c r="O36" s="2"/>
      <x:c r="P36" s="2"/>
      <x:c r="Q36" s="2"/>
      <x:c r="R36" s="2"/>
      <x:c r="S36" s="2"/>
    </x:row>
    <x:row r="37" ht="32" customHeight="1">
      <x:c r="A37" s="2"/>
      <x:c r="B37" s="43" t="str">
        <x:f>'Medicoes'!C26</x:f>
        <x:v>Secrets Manager</x:v>
      </x:c>
      <x:c r="C37" s="43" t="str">
        <x:f>'Medicoes'!D26</x:f>
        <x:v>Um segredo mantido</x:v>
      </x:c>
      <x:c r="D37" s="43" t="str">
        <x:f>'Medicoes'!F26</x:f>
        <x:v>segredo-mês</x:v>
      </x:c>
      <x:c r="E37" s="45" t="n">
        <x:f>IF(ISNUMBER('Medicoes'!E26),'Medicoes'!E26,"n.a.")</x:f>
        <x:v>1</x:v>
      </x:c>
      <x:c r="F37" s="46" t="n">
        <x:f>IF(ISNUMBER('Medicoes'!G26),'Medicoes'!G26,"n.a.")</x:f>
        <x:v>0.4</x:v>
      </x:c>
      <x:c r="G37" s="47" t="n">
        <x:f>1</x:f>
        <x:v>1</x:v>
      </x:c>
      <x:c r="H37" s="47" t="n">
        <x:f>IF(AND(ISNUMBER(E37),ISNUMBER(G37)),E37*G37,"n.a.")</x:f>
        <x:v>1</x:v>
      </x:c>
      <x:c r="I37" s="48" t="n">
        <x:f>IF(AND(ISNUMBER(F37),ISNUMBER(H37)),F37*H37,"n.a.")</x:f>
        <x:v>0.4</x:v>
      </x:c>
      <x:c r="J37" s="2"/>
      <x:c r="K37" s="54" t="str">
        <x:v>Mantido por 30d; não duplicado por camada.</x:v>
      </x:c>
      <x:c r="L37" s="2"/>
      <x:c r="M37" s="2"/>
      <x:c r="N37" s="2"/>
      <x:c r="O37" s="2"/>
      <x:c r="P37" s="2"/>
      <x:c r="Q37" s="2"/>
      <x:c r="R37" s="2"/>
      <x:c r="S37" s="2"/>
    </x:row>
    <x:row r="38" ht="32" customHeight="1">
      <x:c r="A38" s="2"/>
      <x:c r="B38" s="44" t="str">
        <x:f>'Medicoes'!C27</x:f>
        <x:v>Secrets Manager</x:v>
      </x:c>
      <x:c r="C38" s="44" t="str">
        <x:f>'Medicoes'!D27</x:f>
        <x:v>Chamadas de API</x:v>
      </x:c>
      <x:c r="D38" s="44" t="str">
        <x:f>'Medicoes'!F27</x:f>
        <x:v>requests</x:v>
      </x:c>
      <x:c r="E38" s="49" t="n">
        <x:f>IF(ISNUMBER('Medicoes'!E27),'Medicoes'!E27,"n.a.")</x:f>
        <x:v>1</x:v>
      </x:c>
      <x:c r="F38" s="50" t="n">
        <x:f>IF(ISNUMBER('Medicoes'!G27),'Medicoes'!G27,"n.a.")</x:f>
        <x:v>0.000005</x:v>
      </x:c>
      <x:c r="G38" s="51" t="n">
        <x:f>IF(AND(ISNUMBER('Medicoes'!Q27),'Medicoes'!Q27&gt;0),$E$18/'Medicoes'!Q27,"n.a.")</x:f>
        <x:v>5</x:v>
      </x:c>
      <x:c r="H38" s="51" t="n">
        <x:f>IF(AND(ISNUMBER(E38),ISNUMBER(G38)),E38*G38,"n.a.")</x:f>
        <x:v>5</x:v>
      </x:c>
      <x:c r="I38" s="52" t="n">
        <x:f>IF(AND(ISNUMBER(F38),ISNUMBER(H38)),F38*H38,"n.a.")</x:f>
        <x:v>0.000025</x:v>
      </x:c>
      <x:c r="J38" s="2"/>
      <x:c r="K38" s="54" t="str">
        <x:v>Proxy de 6d UTC de apoio; sem Bronze/replay.</x:v>
      </x:c>
      <x:c r="L38" s="2"/>
      <x:c r="M38" s="2"/>
      <x:c r="N38" s="2"/>
      <x:c r="O38" s="2"/>
      <x:c r="P38" s="2"/>
      <x:c r="Q38" s="2"/>
      <x:c r="R38" s="2"/>
      <x:c r="S38" s="2"/>
    </x:row>
    <x:row r="39" ht="32" customHeight="1">
      <x:c r="A39" s="2"/>
      <x:c r="B39" s="43" t="str">
        <x:f>'Medicoes'!C28</x:f>
        <x:v>Glue Data Catalog</x:v>
      </x:c>
      <x:c r="C39" s="43" t="str">
        <x:f>'Medicoes'!D28</x:f>
        <x:v>Armazenamento de metadados</x:v>
      </x:c>
      <x:c r="D39" s="43" t="str">
        <x:f>'Medicoes'!F28</x:f>
        <x:v>objeto-mês</x:v>
      </x:c>
      <x:c r="E39" s="45" t="n">
        <x:f>IF(ISNUMBER('Medicoes'!E28),'Medicoes'!E28,"n.a.")</x:f>
        <x:v>2.455645107</x:v>
      </x:c>
      <x:c r="F39" s="46" t="n">
        <x:f>IF(ISNUMBER('Medicoes'!G28),'Medicoes'!G28,"n.a.")</x:f>
        <x:v>0.00001</x:v>
      </x:c>
      <x:c r="G39" s="47" t="n">
        <x:f>IF(AND(ISNUMBER('Medicoes'!Q28),'Medicoes'!Q28&gt;0),$E$18/'Medicoes'!Q28,"n.a.")</x:f>
        <x:v>5</x:v>
      </x:c>
      <x:c r="H39" s="47" t="n">
        <x:f>IF(AND(ISNUMBER(E39),ISNUMBER(G39)),E39*G39,"n.a.")</x:f>
        <x:v>12.278225535</x:v>
      </x:c>
      <x:c r="I39" s="48" t="n">
        <x:f>IF(AND(ISNUMBER(F39),ISNUMBER(H39)),F39*H39,"n.a.")</x:f>
        <x:v>0.00012278225535</x:v>
      </x:c>
      <x:c r="J39" s="2"/>
      <x:c r="K39" s="54" t="str">
        <x:v>Proxy de 6d UTC de apoio; sem Bronze/replay.</x:v>
      </x:c>
      <x:c r="L39" s="2"/>
      <x:c r="M39" s="2"/>
      <x:c r="N39" s="2"/>
      <x:c r="O39" s="2"/>
      <x:c r="P39" s="2"/>
      <x:c r="Q39" s="2"/>
      <x:c r="R39" s="2"/>
      <x:c r="S39" s="2"/>
    </x:row>
    <x:row r="40" ht="32" customHeight="1">
      <x:c r="A40" s="2"/>
      <x:c r="B40" s="44" t="str">
        <x:f>'Medicoes'!C29</x:f>
        <x:v>Glue Data Catalog</x:v>
      </x:c>
      <x:c r="C40" s="44" t="str">
        <x:f>'Medicoes'!D29</x:f>
        <x:v>Requests de catálogo</x:v>
      </x:c>
      <x:c r="D40" s="44" t="str">
        <x:f>'Medicoes'!F29</x:f>
        <x:v>requests</x:v>
      </x:c>
      <x:c r="E40" s="49" t="n">
        <x:f>IF(ISNUMBER('Medicoes'!E29),'Medicoes'!E29,"n.a.")</x:f>
        <x:v>91</x:v>
      </x:c>
      <x:c r="F40" s="50" t="n">
        <x:f>IF(ISNUMBER('Medicoes'!G29),'Medicoes'!G29,"n.a.")</x:f>
        <x:v>0.000001</x:v>
      </x:c>
      <x:c r="G40" s="51" t="n">
        <x:f>IF(AND(ISNUMBER('Medicoes'!Q29),'Medicoes'!Q29&gt;0),$E$18/'Medicoes'!Q29,"n.a.")</x:f>
        <x:v>5</x:v>
      </x:c>
      <x:c r="H40" s="51" t="n">
        <x:f>IF(AND(ISNUMBER(E40),ISNUMBER(G40)),E40*G40,"n.a.")</x:f>
        <x:v>455</x:v>
      </x:c>
      <x:c r="I40" s="52" t="n">
        <x:f>IF(AND(ISNUMBER(F40),ISNUMBER(H40)),F40*H40,"n.a.")</x:f>
        <x:v>0.000455</x:v>
      </x:c>
      <x:c r="J40" s="2"/>
      <x:c r="K40" s="54" t="str">
        <x:v>Proxy de 6d UTC de apoio; sem Bronze/replay.</x:v>
      </x:c>
      <x:c r="L40" s="2"/>
      <x:c r="M40" s="2"/>
      <x:c r="N40" s="2"/>
      <x:c r="O40" s="2"/>
      <x:c r="P40" s="2"/>
      <x:c r="Q40" s="2"/>
      <x:c r="R40" s="2"/>
      <x:c r="S40" s="2"/>
    </x:row>
    <x:row r="41" ht="32" customHeight="1">
      <x:c r="A41" s="2"/>
      <x:c r="B41" s="43" t="str">
        <x:f>'Medicoes'!C30</x:f>
        <x:v>Amazon S3</x:v>
      </x:c>
      <x:c r="C41" s="43" t="str">
        <x:f>'Medicoes'!D30</x:f>
        <x:v>Entrada comum de dados</x:v>
      </x:c>
      <x:c r="D41" s="43" t="str">
        <x:f>'Medicoes'!F30</x:f>
        <x:v>GB</x:v>
      </x:c>
      <x:c r="E41" s="45" t="n">
        <x:f>IF(ISNUMBER('Medicoes'!E30),'Medicoes'!E30,"n.a.")</x:f>
        <x:v>0</x:v>
      </x:c>
      <x:c r="F41" s="46" t="n">
        <x:f>IF(ISNUMBER('Medicoes'!G30),'Medicoes'!G30,"n.a.")</x:f>
        <x:v>0</x:v>
      </x:c>
      <x:c r="G41" s="47" t="n">
        <x:f>IF(AND(ISNUMBER('Medicoes'!Q30),'Medicoes'!Q30&gt;0),$E$18/'Medicoes'!Q30,"n.a.")</x:f>
        <x:v>5</x:v>
      </x:c>
      <x:c r="H41" s="47" t="n">
        <x:f>IF(AND(ISNUMBER(E41),ISNUMBER(G41)),E41*G41,"n.a.")</x:f>
        <x:v>0</x:v>
      </x:c>
      <x:c r="I41" s="48" t="n">
        <x:f>IF(AND(ISNUMBER(F41),ISNUMBER(H41)),F41*H41,"n.a.")</x:f>
        <x:v>0</x:v>
      </x:c>
      <x:c r="J41" s="2"/>
      <x:c r="K41" s="54" t="str">
        <x:v>Proxy de 6d UTC de apoio; sem Bronze/replay.</x:v>
      </x:c>
      <x:c r="L41" s="2"/>
      <x:c r="M41" s="2"/>
      <x:c r="N41" s="2"/>
      <x:c r="O41" s="2"/>
      <x:c r="P41" s="2"/>
      <x:c r="Q41" s="2"/>
      <x:c r="R41" s="2"/>
      <x:c r="S41" s="2"/>
    </x:row>
    <x:row r="42" ht="32" customHeight="1">
      <x:c r="A42" s="2"/>
      <x:c r="B42" s="44" t="str">
        <x:f>'Medicoes'!C31</x:f>
        <x:v>Google Cloud</x:v>
      </x:c>
      <x:c r="C42" s="44" t="str">
        <x:f>'Medicoes'!D31</x:f>
        <x:v>Leitura integral prospectiva das sete tabelas</x:v>
      </x:c>
      <x:c r="D42" s="44" t="str">
        <x:f>'Medicoes'!F31</x:f>
        <x:v>TiB</x:v>
      </x:c>
      <x:c r="E42" s="89" t="n">
        <x:f>IF(ISNUMBER('Medicoes'!E31),'Medicoes'!E31,"n.a.")</x:f>
        <x:v>0.00024697117714822525</x:v>
      </x:c>
      <x:c r="F42" s="50" t="n">
        <x:f>IF(ISNUMBER('Medicoes'!G31),'Medicoes'!G31,"n.a.")</x:f>
        <x:v>1.1</x:v>
      </x:c>
      <x:c r="G42" s="51" t="n">
        <x:f>IF(AND(ISNUMBER($E$17),$E$17&gt;=0),$E$17,"n.a.")</x:f>
        <x:v>4</x:v>
      </x:c>
      <x:c r="H42" s="92" t="n">
        <x:f>IF(AND(ISNUMBER(E42),ISNUMBER(G42)),E42*G42,"n.a.")</x:f>
        <x:v>0.000987884708592901</x:v>
      </x:c>
      <x:c r="I42" s="52" t="n">
        <x:f>IF(AND(ISNUMBER(F42),ISNUMBER(H42)),F42*H42,"n.a.")</x:f>
        <x:v>0.0010866731794521912</x:v>
      </x:c>
      <x:c r="J42" s="2"/>
      <x:c r="K42" s="54" t="str">
        <x:v>Leitura integral prospectiva por batch; não histórico.</x:v>
      </x:c>
      <x:c r="L42" s="2"/>
      <x:c r="M42" s="2"/>
      <x:c r="N42" s="2"/>
      <x:c r="O42" s="2"/>
      <x:c r="P42" s="2"/>
      <x:c r="Q42" s="2"/>
      <x:c r="R42" s="2"/>
      <x:c r="S42" s="2"/>
    </x:row>
    <x:row r="43" ht="32" customHeight="1">
      <x:c r="A43" s="2"/>
      <x:c r="B43" s="43" t="str">
        <x:f>'Medicoes'!C32</x:f>
        <x:v>Google Cloud</x:v>
      </x:c>
      <x:c r="C43" s="43" t="str">
        <x:f>'Medicoes'!D32</x:f>
        <x:v>Saída GCP para AWS</x:v>
      </x:c>
      <x:c r="D43" s="43" t="str">
        <x:f>'Medicoes'!F32</x:f>
        <x:v>GiB</x:v>
      </x:c>
      <x:c r="E43" s="45" t="str">
        <x:f>IF(ISNUMBER('Medicoes'!E32),'Medicoes'!E32,"n.a.")</x:f>
        <x:v>n.a.</x:v>
      </x:c>
      <x:c r="F43" s="46" t="n">
        <x:f>IF(ISNUMBER('Medicoes'!G32),'Medicoes'!G32,"n.a.")</x:f>
        <x:v>0.12</x:v>
      </x:c>
      <x:c r="G43" s="47" t="str">
        <x:f>"n.a."</x:f>
        <x:v>n.a.</x:v>
      </x:c>
      <x:c r="H43" s="47" t="str">
        <x:f>IF(AND(ISNUMBER(E43),ISNUMBER(G43)),E43*G43,"n.a.")</x:f>
        <x:v>n.a.</x:v>
      </x:c>
      <x:c r="I43" s="48" t="str">
        <x:f>IF(AND(ISNUMBER(F43),ISNUMBER(H43)),F43*H43,"n.a.")</x:f>
        <x:v>n.a.</x:v>
      </x:c>
      <x:c r="J43" s="2"/>
      <x:c r="K43" s="54" t="str">
        <x:v>Egress faturável ainda não comprovado.</x:v>
      </x:c>
      <x:c r="L43" s="2"/>
      <x:c r="M43" s="2"/>
      <x:c r="N43" s="2"/>
      <x:c r="O43" s="2"/>
      <x:c r="P43" s="2"/>
      <x:c r="Q43" s="2"/>
      <x:c r="R43" s="2"/>
      <x:c r="S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2" customHeight="1">
      <x:c r="A46" s="2"/>
      <x:c r="B46" s="9" t="str">
        <x:v>Pendências que impedem o total completo</x:v>
      </x:c>
      <x:c r="C46" s="9"/>
      <x:c r="D46" s="9"/>
      <x:c r="E46" s="9"/>
      <x:c r="F46" s="9"/>
      <x:c r="G46" s="9"/>
      <x:c r="H46" s="9"/>
      <x:c r="I46" s="9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4" customHeight="1">
      <x:c r="A47" s="2"/>
      <x:c r="B47" s="2" t="str">
        <x:v>Egress GCP: telemetria response_sizes medida, sem equivalência comprovada ao volume transferido faturável; custo permanece n.a.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4" customHeight="1">
      <x:c r="A48" s="2"/>
      <x:c r="B48" s="2" t="str">
        <x:v>Crescimento comprimido do arquivo de logs por ciclo: ingresso foi medido, mas as capturas de estoque estável não permitem atribuição; custo permanece n.a.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4" customHeight="1">
      <x:c r="A49" s="2"/>
      <x:c r="B49" s="2" t="str">
        <x:v>Requests de apoio: baseline de seis dias sem Bronze/replay; reconciliar cobertura da cadência pretendida antes de apresentar custo completo.</x:v>
      </x:c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2" customHeight="1">
      <x:c r="A50" s="2"/>
      <x:c r="B50" s="2" t="str">
        <x:v>E-mail Budget: último estado observado 0/1 verificado e Inactive; entrega não comprovada. Nenhum novo envio foi tentado.</x:v>
      </x:c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</x:sheetData>
  <x:conditionalFormatting sqref="E23:I43">
    <x:cfRule type="containsText" dxfId="0" priority="1" operator="containsText" text="n.a."/>
  </x:conditionalFormatting>
  <x:conditionalFormatting sqref="E14:E14">
    <x:cfRule type="containsText" dxfId="1" priority="2" operator="containsText" text="n.a."/>
  </x:conditionalFormatting>
  <x:dataValidations count="2">
    <x:dataValidation type="whole" operator="between" sqref="E17">
      <x:formula1>0</x:formula1>
      <x:formula2>1000000</x:formula2>
    </x:dataValidation>
    <x:dataValidation type="whole" operator="between" sqref="E18">
      <x:formula1>30</x:formula1>
      <x:formula2>30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5B69A"/>
  </x:sheetPr>
  <x:sheetViews>
    <x:sheetView showGridLines="0" workbookViewId="0">
      <x:pane xSplit="4" ySplit="11" topLeftCell="E12" activePane="bottomRight" state="frozen"/>
    </x:sheetView>
  </x:sheetViews>
  <x:sheetFormatPr defaultRowHeight="15"/>
  <x:cols>
    <x:col min="1" max="1" width="2.5" hidden="0" customWidth="1"/>
    <x:col min="2" max="2" width="23" hidden="0" customWidth="1"/>
    <x:col min="3" max="3" width="20" hidden="0" customWidth="1"/>
    <x:col min="4" max="4" width="37" hidden="0" customWidth="1"/>
    <x:col min="5" max="5" width="19" hidden="0" customWidth="1"/>
    <x:col min="6" max="6" width="20" hidden="0" customWidth="1"/>
    <x:col min="7" max="7" width="19" hidden="0" customWidth="1"/>
    <x:col min="8" max="8" width="20" hidden="0" customWidth="1"/>
    <x:col min="9" max="9" width="30" hidden="0" customWidth="1"/>
    <x:col min="10" max="10" width="3" hidden="0" customWidth="1"/>
    <x:col min="11" max="11" width="66" hidden="0" customWidth="1"/>
    <x:col min="12" max="12" width="3" hidden="0" customWidth="1"/>
    <x:col min="13" max="13" width="66" hidden="0" customWidth="1"/>
    <x:col min="14" max="14" width="3" hidden="0" customWidth="1"/>
    <x:col min="15" max="15" width="80" hidden="0" customWidth="1"/>
    <x:col min="16" max="16" width="3" hidden="0" customWidth="1"/>
    <x:col min="17" max="17" width="18" hidden="0" customWidth="1"/>
    <x:col min="18" max="18" width="22" hidden="0" customWidth="1"/>
    <x:col min="19" max="19" width="6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1" customHeight="1">
      <x:c r="A2" s="2"/>
      <x:c r="B2" s="4" t="str">
        <x:v>Medições, tarifas e fontes</x:v>
      </x:c>
      <x:c r="C2" s="5"/>
      <x:c r="D2" s="5"/>
      <x:c r="E2" s="5"/>
      <x:c r="F2" s="5"/>
      <x:c r="G2" s="5"/>
      <x:c r="H2" s="5"/>
      <x:c r="I2" s="5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2"/>
      <x:c r="B3" s="6" t="str">
        <x:v>Valores observados em 2026-10-27. Ausências permanecem n.a.; períodos constam por linha.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34" customHeight="1">
      <x:c r="A4" s="2"/>
      <x:c r="B4" s="21" t="str">
        <x:v>ID</x:v>
      </x:c>
      <x:c r="C4" s="21" t="str">
        <x:v>Serviço</x:v>
      </x:c>
      <x:c r="D4" s="21" t="str">
        <x:v>Medição</x:v>
      </x:c>
      <x:c r="E4" s="21" t="str">
        <x:v>Quantidade</x:v>
      </x:c>
      <x:c r="F4" s="21" t="str">
        <x:v>Unidade</x:v>
      </x:c>
      <x:c r="G4" s="21" t="str">
        <x:v>Tarifa USD/un.</x:v>
      </x:c>
      <x:c r="H4" s="21" t="str">
        <x:v>Base</x:v>
      </x:c>
      <x:c r="I4" s="21" t="str">
        <x:v>Período</x:v>
      </x:c>
      <x:c r="J4" s="2"/>
      <x:c r="K4" s="2" t="str">
        <x:v>Fonte da quantidade</x:v>
      </x:c>
      <x:c r="L4" s="2"/>
      <x:c r="M4" s="2" t="str">
        <x:v>Fonte da tarifa</x:v>
      </x:c>
      <x:c r="N4" s="2"/>
      <x:c r="O4" s="2" t="str">
        <x:v>Limites e interpretação</x:v>
      </x:c>
      <x:c r="P4" s="2"/>
      <x:c r="Q4" s="2"/>
      <x:c r="R4" s="2"/>
      <x:c r="S4" s="2"/>
    </x:row>
    <x:row r="5" ht="22" customHeight="1">
      <x:c r="A5" s="2"/>
      <x:c r="B5" s="2" t="str">
        <x:v>budget_total</x:v>
      </x:c>
      <x:c r="C5" s="2" t="str">
        <x:v>Usuário</x:v>
      </x:c>
      <x:c r="D5" s="2" t="str">
        <x:v>Teto TOTAL do projeto</x:v>
      </x:c>
      <x:c r="E5" s="22" t="n">
        <x:v>140</x:v>
      </x:c>
      <x:c r="F5" s="2" t="str">
        <x:v>USD</x:v>
      </x:c>
      <x:c r="G5" s="2" t="str">
        <x:v>n.a.</x:v>
      </x:c>
      <x:c r="H5" s="2" t="str">
        <x:v>limite total</x:v>
      </x:c>
      <x:c r="I5" s="2" t="str">
        <x:v>Todo o Tech Challenge</x:v>
      </x:c>
      <x:c r="J5" s="2"/>
      <x:c r="K5" s="2" t="str">
        <x:v>Limite informado pelo usuário</x:v>
      </x:c>
      <x:c r="L5" s="2"/>
      <x:c r="M5" s="2"/>
      <x:c r="N5" s="2"/>
      <x:c r="O5" s="2" t="str">
        <x:v>Não renovar US$140 a cada mês.</x:v>
      </x:c>
      <x:c r="P5" s="2"/>
      <x:c r="Q5" s="2"/>
      <x:c r="R5" s="2"/>
      <x:c r="S5" s="2"/>
    </x:row>
    <x:row r="6" ht="66" customHeight="1">
      <x:c r="A6" s="2"/>
      <x:c r="B6" s="2" t="str">
        <x:v>aws_usage</x:v>
      </x:c>
      <x:c r="C6" s="2" t="str">
        <x:v>AWS / conta</x:v>
      </x:c>
      <x:c r="D6" s="2" t="str">
        <x:v>Consumo bruto observado</x:v>
      </x:c>
      <x:c r="E6" s="22" t="n">
        <x:v>3.4142741034</x:v>
      </x:c>
      <x:c r="F6" s="2" t="str">
        <x:v>USD</x:v>
      </x:c>
      <x:c r="G6" s="2" t="str">
        <x:v>n.a.</x:v>
      </x:c>
      <x:c r="H6" s="2" t="str">
        <x:v>observado</x:v>
      </x:c>
      <x:c r="I6" s="84" t="str">
        <x:v>Cost Explorer DAILY 2026-10-01 até 2026-10-28 exclusive; coleta 2026-10-27 17:10 UTC; dia 27 parcial e todos Estimated=true</x:v>
      </x:c>
      <x:c r="J6" s="2"/>
      <x:c r="K6" s="67" t="str">
        <x:v>../finops_atualizado_20261027/raw/aws/cost_explorer_usage_types.json; soma de todos os dias e grupos; RECORD_TYPE=Usage</x:v>
      </x:c>
      <x:c r="L6" s="67"/>
      <x:c r="M6" s="67"/>
      <x:c r="N6" s="67"/>
      <x:c r="O6" s="67" t="str">
        <x:v>Conta AWS inteira; não alocada por tag. CE preserva o mesmo total anterior e pode ainda não incluir operações novas do dia 27.</x:v>
      </x:c>
      <x:c r="P6" s="2"/>
      <x:c r="Q6" s="2"/>
      <x:c r="R6" s="2"/>
      <x:c r="S6" s="2"/>
    </x:row>
    <x:row r="7" ht="32" customHeight="1">
      <x:c r="A7" s="2"/>
      <x:c r="B7" s="2" t="str">
        <x:v>credits</x:v>
      </x:c>
      <x:c r="C7" s="2" t="str">
        <x:v>AWS / conta</x:v>
      </x:c>
      <x:c r="D7" s="2" t="str">
        <x:v>Créditos restantes</x:v>
      </x:c>
      <x:c r="E7" s="22" t="n">
        <x:v>136.59</x:v>
      </x:c>
      <x:c r="F7" s="2" t="str">
        <x:v>USD</x:v>
      </x:c>
      <x:c r="G7" s="2" t="str">
        <x:v>n.a.</x:v>
      </x:c>
      <x:c r="H7" s="2" t="str">
        <x:v>observado</x:v>
      </x:c>
      <x:c r="I7" s="85" t="d">
        <x:v>2026-10-27T17:18:45.813Z</x:v>
      </x:c>
      <x:c r="J7" s="2"/>
      <x:c r="K7" s="67" t="str">
        <x:v>../finops_atualizado_20261027/raw/creditos_console.json; ../finops_atualizado_20261027/creditos_atuais.png; tela reconferida após a coleta</x:v>
      </x:c>
      <x:c r="L7" s="67"/>
      <x:c r="M7" s="67"/>
      <x:c r="N7" s="67"/>
      <x:c r="O7" s="67" t="str">
        <x:v>US$136,59 foi reconferido no console. A data de atualização contábil não é exposta; novos consumos podem demorar a aparecer. Os172dias vêm da fotografia anterior no mesmo dia. Esta investigação de pendências não consultou novamente créditos ou Cost Explorer.</x:v>
      </x:c>
      <x:c r="P7" s="2"/>
      <x:c r="Q7" s="2"/>
      <x:c r="R7" s="2"/>
      <x:c r="S7" s="2"/>
    </x:row>
    <x:row r="8" ht="32" customHeight="1">
      <x:c r="A8" s="2"/>
      <x:c r="B8" s="2" t="str">
        <x:v>plan_days</x:v>
      </x:c>
      <x:c r="C8" s="2" t="str">
        <x:v>AWS / conta</x:v>
      </x:c>
      <x:c r="D8" s="2" t="str">
        <x:v>Prazo plano gratuito</x:v>
      </x:c>
      <x:c r="E8" s="23" t="n">
        <x:v>172</x:v>
      </x:c>
      <x:c r="F8" s="2" t="str">
        <x:v>dias</x:v>
      </x:c>
      <x:c r="G8" s="2" t="str">
        <x:v>n.a.</x:v>
      </x:c>
      <x:c r="H8" s="2" t="str">
        <x:v>observado</x:v>
      </x:c>
      <x:c r="I8" s="84" t="str">
        <x:v>Fotografia anterior no mesmo dia</x:v>
      </x:c>
      <x:c r="J8" s="2"/>
      <x:c r="K8" s="67" t="str">
        <x:v>../finops_atualizado_20261027/raw/creditos_console.json; ../finops_atualizado_20261027/creditos_atuais.png; tela reconferida após a coleta</x:v>
      </x:c>
      <x:c r="L8" s="67"/>
      <x:c r="M8" s="67"/>
      <x:c r="N8" s="67"/>
      <x:c r="O8" s="67" t="str">
        <x:v>Prazo não garante permanência dos créditos.</x:v>
      </x:c>
      <x:c r="P8" s="2"/>
      <x:c r="Q8" s="2"/>
      <x:c r="R8" s="2"/>
      <x:c r="S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34" customHeight="1">
      <x:c r="A11" s="2"/>
      <x:c r="B11" s="21" t="str">
        <x:v>ID</x:v>
      </x:c>
      <x:c r="C11" s="21" t="str">
        <x:v>Serviço</x:v>
      </x:c>
      <x:c r="D11" s="21" t="str">
        <x:v>Parcela</x:v>
      </x:c>
      <x:c r="E11" s="21" t="str">
        <x:v>Quantidade</x:v>
      </x:c>
      <x:c r="F11" s="21" t="str">
        <x:v>Unidade</x:v>
      </x:c>
      <x:c r="G11" s="21" t="str">
        <x:v>Tarifa USD/un.</x:v>
      </x:c>
      <x:c r="H11" s="21" t="str">
        <x:v>Base</x:v>
      </x:c>
      <x:c r="I11" s="21" t="str">
        <x:v>Período</x:v>
      </x:c>
      <x:c r="J11" s="2"/>
      <x:c r="K11" s="2"/>
      <x:c r="L11" s="2"/>
      <x:c r="M11" s="2"/>
      <x:c r="N11" s="2"/>
      <x:c r="O11" s="2"/>
      <x:c r="P11" s="2"/>
      <x:c r="Q11" s="21" t="str">
        <x:v>Janela (dias)</x:v>
      </x:c>
      <x:c r="R11" s="21" t="str">
        <x:v>Acréscimo por ciclo</x:v>
      </x:c>
      <x:c r="S11" s="21" t="str">
        <x:v>Fonte do acréscimo</x:v>
      </x:c>
    </x:row>
    <x:row r="12" ht="66" customHeight="1">
      <x:c r="A12" s="2"/>
      <x:c r="B12" s="67" t="str">
        <x:v>glue_bronze</x:v>
      </x:c>
      <x:c r="C12" s="67" t="str">
        <x:v>AWS Glue</x:v>
      </x:c>
      <x:c r="D12" s="67" t="str">
        <x:v>Bronze batch</x:v>
      </x:c>
      <x:c r="E12" s="68" t="n">
        <x:v>0.08138888888888889</x:v>
      </x:c>
      <x:c r="F12" s="69" t="str">
        <x:v>DPU-hora</x:v>
      </x:c>
      <x:c r="G12" s="70" t="n">
        <x:v>0.44</x:v>
      </x:c>
      <x:c r="H12" s="67" t="str">
        <x:v>per_cycle</x:v>
      </x:c>
      <x:c r="I12" s="84" t="str">
        <x:v>2026-10-20 00:00:00+00:00 até 2026-10-27 00:00:00+00:00 (métricas); billing MTD conforme fonte</x:v>
      </x:c>
      <x:c r="J12" s="2"/>
      <x:c r="K12" s="75" t="str">
        <x:v>../finops_atualizado_20261027/raw/aws/glue_runs.json; ../finops_2026_10_27/controls/latest_gold_manifest.json; referência jr_cdfd2933220ec75b45c04518c6e5afe93eb98915f3b88328f8bde8d7183d3700</x:v>
      </x:c>
      <x:c r="L12" s="75"/>
      <x:c r="M12" s="75" t="str">
        <x:v>https://aws.amazon.com/glue/pricing/; https://pricing.us-east-1.amazonaws.com/offers/v1.0/aws/AWSGlue/current/us-east-2/index.json</x:v>
      </x:c>
      <x:c r="N12" s="75"/>
      <x:c r="O12" s="75" t="str">
        <x:v>DPUSeconds / 3.600 da execução de referência. Mesmo volume e workers como hipótese. O replay novo não iniciou Glue adicional.</x:v>
      </x:c>
      <x:c r="P12" s="2"/>
      <x:c r="Q12" s="68" t="str">
        <x:v>n.a.</x:v>
      </x:c>
      <x:c r="R12" s="68" t="str">
        <x:v>n.a.</x:v>
      </x:c>
      <x:c r="S12" s="67" t="str">
        <x:v>n.a.</x:v>
      </x:c>
    </x:row>
    <x:row r="13" ht="66" customHeight="1">
      <x:c r="A13" s="2"/>
      <x:c r="B13" s="71" t="str">
        <x:v>glue_silver</x:v>
      </x:c>
      <x:c r="C13" s="71" t="str">
        <x:v>AWS Glue</x:v>
      </x:c>
      <x:c r="D13" s="71" t="str">
        <x:v>Silver batch</x:v>
      </x:c>
      <x:c r="E13" s="72" t="n">
        <x:v>0.1436111111111111</x:v>
      </x:c>
      <x:c r="F13" s="73" t="str">
        <x:v>DPU-hora</x:v>
      </x:c>
      <x:c r="G13" s="74" t="n">
        <x:v>0.44</x:v>
      </x:c>
      <x:c r="H13" s="71" t="str">
        <x:v>per_cycle</x:v>
      </x:c>
      <x:c r="I13" s="86" t="str">
        <x:v>2026-10-20 00:00:00+00:00 até 2026-10-27 00:00:00+00:00 (métricas); billing MTD conforme fonte</x:v>
      </x:c>
      <x:c r="J13" s="2"/>
      <x:c r="K13" s="75" t="str">
        <x:v>../finops_atualizado_20261027/raw/aws/glue_runs.json; ../finops_2026_10_27/controls/latest_gold_manifest.json; referência jr_9c58c50a3e452ab6fff7f8560524b5235aa0d0c92036feccc6768ce2499b0288</x:v>
      </x:c>
      <x:c r="L13" s="75"/>
      <x:c r="M13" s="75" t="str">
        <x:v>https://aws.amazon.com/glue/pricing/; https://pricing.us-east-1.amazonaws.com/offers/v1.0/aws/AWSGlue/current/us-east-2/index.json</x:v>
      </x:c>
      <x:c r="N13" s="75"/>
      <x:c r="O13" s="75" t="str">
        <x:v>DPUSeconds / 3.600 da execução de referência. Mesmo volume e workers como hipótese. O replay novo não iniciou Glue adicional.</x:v>
      </x:c>
      <x:c r="P13" s="2"/>
      <x:c r="Q13" s="68" t="str">
        <x:v>n.a.</x:v>
      </x:c>
      <x:c r="R13" s="68" t="str">
        <x:v>n.a.</x:v>
      </x:c>
      <x:c r="S13" s="67" t="str">
        <x:v>n.a.</x:v>
      </x:c>
    </x:row>
    <x:row r="14" ht="66" customHeight="1">
      <x:c r="A14" s="2"/>
      <x:c r="B14" s="67" t="str">
        <x:v>glue_gold</x:v>
      </x:c>
      <x:c r="C14" s="67" t="str">
        <x:v>AWS Glue</x:v>
      </x:c>
      <x:c r="D14" s="67" t="str">
        <x:v>Gold batch</x:v>
      </x:c>
      <x:c r="E14" s="68" t="n">
        <x:v>0.085</x:v>
      </x:c>
      <x:c r="F14" s="69" t="str">
        <x:v>DPU-hora</x:v>
      </x:c>
      <x:c r="G14" s="70" t="n">
        <x:v>0.44</x:v>
      </x:c>
      <x:c r="H14" s="67" t="str">
        <x:v>per_cycle</x:v>
      </x:c>
      <x:c r="I14" s="84" t="str">
        <x:v>Run 2026-10-27 00:41 UTC; referência de execução, separada da janela geral CloudWatch 20 a 27/10 exclusive</x:v>
      </x:c>
      <x:c r="J14" s="2"/>
      <x:c r="K14" s="75" t="str">
        <x:v>../finops_atualizado_20261027/raw/aws/glue_runs.json; ../finops_2026_10_27/controls/latest_gold_manifest.json; referência jr_1ae29e48e526f050de2d2d637a5474387a37398466e7af56ed0584132f58e7fe</x:v>
      </x:c>
      <x:c r="L14" s="75"/>
      <x:c r="M14" s="75" t="str">
        <x:v>https://aws.amazon.com/glue/pricing/; https://pricing.us-east-1.amazonaws.com/offers/v1.0/aws/AWSGlue/current/us-east-2/index.json</x:v>
      </x:c>
      <x:c r="N14" s="75"/>
      <x:c r="O14" s="75" t="str">
        <x:v>DPUSeconds / 3.600. Gold recente com fixture desativada. Mesmos volumes e workers como hipótese.</x:v>
      </x:c>
      <x:c r="P14" s="2"/>
      <x:c r="Q14" s="68" t="str">
        <x:v>n.a.</x:v>
      </x:c>
      <x:c r="R14" s="68" t="str">
        <x:v>n.a.</x:v>
      </x:c>
      <x:c r="S14" s="67" t="str">
        <x:v>n.a.</x:v>
      </x:c>
    </x:row>
    <x:row r="15" ht="129" customHeight="1">
      <x:c r="A15" s="2"/>
      <x:c r="B15" s="71" t="str">
        <x:v>s3_storage</x:v>
      </x:c>
      <x:c r="C15" s="71" t="str">
        <x:v>Amazon S3</x:v>
      </x:c>
      <x:c r="D15" s="71" t="str">
        <x:v>Armazenamento Standard</x:v>
      </x:c>
      <x:c r="E15" s="72" t="n">
        <x:v>0.2551854243502021</x:v>
      </x:c>
      <x:c r="F15" s="73" t="str">
        <x:v>GB-mês</x:v>
      </x:c>
      <x:c r="G15" s="74" t="n">
        <x:v>0.023</x:v>
      </x:c>
      <x:c r="H15" s="71" t="str">
        <x:v>storage_growth</x:v>
      </x:c>
      <x:c r="I15" s="86" t="str">
        <x:v>2026-10-27 17:10:23.513537+00:00</x:v>
      </x:c>
      <x:c r="J15" s="2"/>
      <x:c r="K15" s="75" t="str">
        <x:v>../finops_atualizado_20261027/raw/aws/s3_inventory.json; dois buckets; soma de Size e versões não atuais</x:v>
      </x:c>
      <x:c r="L15" s="75"/>
      <x:c r="M15" s="75" t="str">
        <x:v>https://aws.amazon.com/s3/pricing/; https://aws.amazon.com/s3/faqs/; https://pricing.us-east-1.amazonaws.com/offers/v1.0/aws/AmazonS3/current/us-east-2/index.json</x:v>
      </x:c>
      <x:c r="N15" s="75"/>
      <x:c r="O15" s="75" t="str">
        <x:v>Estoque atual de 526 objetos, mais metade do crescimento de quatro ciclos batch e quatro replays uniformemente distribuídos em 30 dias. Growth_per_cycle combina um batch e um replay somente para compatibilidade com o cenário 4+4; growth_components preserva drivers separados. Inclui claims e cópias S3 reais de auditoria, sem somar as mesmas chaves duas vezes. Tamanho de futuras evidências pode variar.</x:v>
      </x:c>
      <x:c r="P15" s="2"/>
      <x:c r="Q15" s="68" t="str">
        <x:v>n.a.</x:v>
      </x:c>
      <x:c r="R15" s="68" t="n">
        <x:v>0.13509098440408707</x:v>
      </x:c>
      <x:c r="S15" s="67" t="str">
        <x:v>../finops_atualizado_20261027/raw/aws/s3_inventory.json; 76 objetos dos três runs batch de referência + 171 objetos do replay positivo/negativo</x:v>
      </x:c>
    </x:row>
    <x:row r="16" ht="77" customHeight="1">
      <x:c r="A16" s="2"/>
      <x:c r="B16" s="67" t="str">
        <x:v>s3_put</x:v>
      </x:c>
      <x:c r="C16" s="67" t="str">
        <x:v>Amazon S3</x:v>
      </x:c>
      <x:c r="D16" s="67" t="str">
        <x:v>PUT/COPY/POST/LIST</x:v>
      </x:c>
      <x:c r="E16" s="68" t="n">
        <x:v>690</x:v>
      </x:c>
      <x:c r="F16" s="69" t="str">
        <x:v>requests</x:v>
      </x:c>
      <x:c r="G16" s="70" t="n">
        <x:v>0.000005</x:v>
      </x:c>
      <x:c r="H16" s="67" t="str">
        <x:v>observed_period</x:v>
      </x:c>
      <x:c r="I16" s="84" t="str">
        <x:v>2026-10-21T00:00:00Z até 2026-10-27T00:00:00Z exclusive; seis dias UTC completos; CE Estimated=true</x:v>
      </x:c>
      <x:c r="J16" s="2"/>
      <x:c r="K16" s="75" t="str">
        <x:v>../finops_atualizado_20261027/raw/aws/cost_explorer_usage_types.json; DAILY; soma de todos os grupos e dos seis dias selecionados; filtro RECORD_TYPE=Usage</x:v>
      </x:c>
      <x:c r="L16" s="75"/>
      <x:c r="M16" s="75" t="str">
        <x:v>https://aws.amazon.com/s3/pricing/; https://pricing.us-east-1.amazonaws.com/offers/v1.0/aws/AmazonS3/current/us-east-2/index.json</x:v>
      </x:c>
      <x:c r="N16" s="75"/>
      <x:c r="O16" s="75" t="str">
        <x:v>Extrapolação histórica de apoio por 30/6. Conta inteira; não é medição de requests por ciclo. Janela sem Bronze nem replay, contém Silver/Gold e desenvolvimento; pode subestimar quatro novas ingestões completas. CE estimado e sujeito a atraso.</x:v>
      </x:c>
      <x:c r="P16" s="2"/>
      <x:c r="Q16" s="68" t="n">
        <x:v>6</x:v>
      </x:c>
      <x:c r="R16" s="68" t="str">
        <x:v>n.a.</x:v>
      </x:c>
      <x:c r="S16" s="67" t="str">
        <x:v>n.a.</x:v>
      </x:c>
    </x:row>
    <x:row r="17" ht="77" customHeight="1">
      <x:c r="A17" s="2"/>
      <x:c r="B17" s="71" t="str">
        <x:v>s3_get</x:v>
      </x:c>
      <x:c r="C17" s="71" t="str">
        <x:v>Amazon S3</x:v>
      </x:c>
      <x:c r="D17" s="71" t="str">
        <x:v>GET e outras Tier2</x:v>
      </x:c>
      <x:c r="E17" s="72" t="n">
        <x:v>1032</x:v>
      </x:c>
      <x:c r="F17" s="73" t="str">
        <x:v>requests</x:v>
      </x:c>
      <x:c r="G17" s="79" t="n">
        <x:v>4e-7</x:v>
      </x:c>
      <x:c r="H17" s="71" t="str">
        <x:v>observed_period</x:v>
      </x:c>
      <x:c r="I17" s="86" t="str">
        <x:v>2026-10-21T00:00:00Z até 2026-10-27T00:00:00Z exclusive; seis dias UTC completos; CE Estimated=true</x:v>
      </x:c>
      <x:c r="J17" s="2"/>
      <x:c r="K17" s="75" t="str">
        <x:v>../finops_atualizado_20261027/raw/aws/cost_explorer_usage_types.json; DAILY; soma de todos os grupos e dos seis dias selecionados; filtro RECORD_TYPE=Usage</x:v>
      </x:c>
      <x:c r="L17" s="75"/>
      <x:c r="M17" s="75" t="str">
        <x:v>https://aws.amazon.com/s3/pricing/; https://pricing.us-east-1.amazonaws.com/offers/v1.0/aws/AmazonS3/current/us-east-2/index.json</x:v>
      </x:c>
      <x:c r="N17" s="75"/>
      <x:c r="O17" s="75" t="str">
        <x:v>Extrapolação histórica de apoio por 30/6. Conta inteira; não é medição de requests por ciclo. Janela sem Bronze nem replay, contém Silver/Gold e desenvolvimento; pode subestimar quatro novas ingestões completas. CE estimado e sujeito a atraso.</x:v>
      </x:c>
      <x:c r="P17" s="2"/>
      <x:c r="Q17" s="68" t="n">
        <x:v>6</x:v>
      </x:c>
      <x:c r="R17" s="68" t="str">
        <x:v>n.a.</x:v>
      </x:c>
      <x:c r="S17" s="67" t="str">
        <x:v>n.a.</x:v>
      </x:c>
    </x:row>
    <x:row r="18" ht="77" customHeight="1">
      <x:c r="A18" s="2"/>
      <x:c r="B18" s="67" t="str">
        <x:v>logs_ingestion</x:v>
      </x:c>
      <x:c r="C18" s="67" t="str">
        <x:v>CloudWatch Logs</x:v>
      </x:c>
      <x:c r="D18" s="67" t="str">
        <x:v>Ingestão Standard</x:v>
      </x:c>
      <x:c r="E18" s="68" t="n">
        <x:v>0.017676384188234806</x:v>
      </x:c>
      <x:c r="F18" s="69" t="str">
        <x:v>GB</x:v>
      </x:c>
      <x:c r="G18" s="70" t="n">
        <x:v>0.5</x:v>
      </x:c>
      <x:c r="H18" s="67" t="str">
        <x:v>observed_period</x:v>
      </x:c>
      <x:c r="I18" s="84" t="str">
        <x:v>2026-10-20T00:00:00Z até 2026-10-27T00:00:00Z exclusive; sete dias UTC completos; não inclui replay novo</x:v>
      </x:c>
      <x:c r="J18" s="2"/>
      <x:c r="K18" s="75" t="str">
        <x:v>../finops_atualizado_20261027/raw/aws/cloudwatch_daily_metrics.json; AWS/Logs IncomingBytes; sete dias UTC completos 20 até 27/10 exclusive</x:v>
      </x:c>
      <x:c r="L18" s="75"/>
      <x:c r="M18" s="75" t="str">
        <x:v>https://aws.amazon.com/cloudwatch/pricing/; https://pricing.us-east-1.amazonaws.com/offers/v1.0/aws/AmazonCloudWatch/current/us-east-2/index.json</x:v>
      </x:c>
      <x:c r="N18" s="75"/>
      <x:c r="O18" s="75" t="str">
        <x:v>Ritmo histórico de apoio dos sete dias completos, incluindo logs de previews já feitos. Não foi somado um segundo custo de ingestão do replay sem medição completa; não é fator isolado por ciclo e não inclui a janela operacional nova do dia 27.</x:v>
      </x:c>
      <x:c r="P18" s="2"/>
      <x:c r="Q18" s="68" t="n">
        <x:v>7</x:v>
      </x:c>
      <x:c r="R18" s="68" t="str">
        <x:v>n.a.</x:v>
      </x:c>
      <x:c r="S18" s="67" t="str">
        <x:v>n.a.</x:v>
      </x:c>
    </x:row>
    <x:row r="19" ht="66" customHeight="1">
      <x:c r="A19" s="2"/>
      <x:c r="B19" s="71" t="str">
        <x:v>logs_archive</x:v>
      </x:c>
      <x:c r="C19" s="71" t="str">
        <x:v>CloudWatch Logs</x:v>
      </x:c>
      <x:c r="D19" s="71" t="str">
        <x:v>Arquivo de logs atual</x:v>
      </x:c>
      <x:c r="E19" s="72" t="n">
        <x:v>0.006907830014824867</x:v>
      </x:c>
      <x:c r="F19" s="73" t="str">
        <x:v>GB-mês</x:v>
      </x:c>
      <x:c r="G19" s="74" t="n">
        <x:v>0.03</x:v>
      </x:c>
      <x:c r="H19" s="71" t="str">
        <x:v>monthly</x:v>
      </x:c>
      <x:c r="I19" s="91" t="d">
        <x:v>2026-10-27T18:02:12.430Z</x:v>
      </x:c>
      <x:c r="J19" s="2"/>
      <x:c r="K19" s="75" t="str">
        <x:v>raw/aws_logs/log_growth_readonly.json; fechamento_logs.json</x:v>
      </x:c>
      <x:c r="L19" s="75"/>
      <x:c r="M19" s="75" t="str">
        <x:v>https://aws.amazon.com/cloudwatch/pricing/; https://pricing.us-east-1.amazonaws.com/offers/v1.0/aws/AmazonCloudWatch/current/us-east-2/index.json</x:v>
      </x:c>
      <x:c r="N19" s="75"/>
      <x:c r="O19" s="75" t="str">
        <x:v>7.417.226 bytes reportados; hipótese de manter o estoque por 30 dias normalizados. Não inclui crescimento futuro não medido. Retenção pode reduzir estoque. Não somar de novo histórico de arquivo CE.</x:v>
      </x:c>
      <x:c r="P19" s="2"/>
      <x:c r="Q19" s="68" t="str">
        <x:v>n.a.</x:v>
      </x:c>
      <x:c r="R19" s="68" t="str">
        <x:v>n.a.</x:v>
      </x:c>
      <x:c r="S19" s="67" t="str">
        <x:v>n.a.</x:v>
      </x:c>
    </x:row>
    <x:row r="20" ht="90" customHeight="1">
      <x:c r="A20" s="2"/>
      <x:c r="B20" s="67" t="str">
        <x:v>logs_archive_growth</x:v>
      </x:c>
      <x:c r="C20" s="67" t="str">
        <x:v>CloudWatch Logs</x:v>
      </x:c>
      <x:c r="D20" s="67" t="str">
        <x:v>Crescimento futuro do arquivo</x:v>
      </x:c>
      <x:c r="E20" s="68" t="str">
        <x:v>n.a.</x:v>
      </x:c>
      <x:c r="F20" s="69" t="str">
        <x:v>GB-mês</x:v>
      </x:c>
      <x:c r="G20" s="70" t="n">
        <x:v>0.03</x:v>
      </x:c>
      <x:c r="H20" s="67" t="str">
        <x:v>pending</x:v>
      </x:c>
      <x:c r="I20" s="84" t="str">
        <x:v>T3 17:04 UTC, T4 17:57 UTC e coleta detalhada 18:02 UTC de 27/10/2026</x:v>
      </x:c>
      <x:c r="J20" s="2"/>
      <x:c r="K20" s="75" t="str">
        <x:v>raw/aws_logs/log_growth_readonly.json; fechamento_logs.json; logs_T4.json</x:v>
      </x:c>
      <x:c r="L20" s="75"/>
      <x:c r="M20" s="75" t="str">
        <x:v>https://aws.amazon.com/cloudwatch/pricing/; https://pricing.us-east-1.amazonaws.com/offers/v1.0/aws/AmazonCloudWatch/current/us-east-2/index.json</x:v>
      </x:c>
      <x:c r="N20" s="75"/>
      <x:c r="O20" s="75" t="str">
        <x:v>6.216.753 bytes de IncomingBytes não comprimidos e 27.113 eventos observados hoje, com estoque reportado estável. Política STANDARD, nenhuma identidade diária StoredBytes. Janela mista e buckets sobrepostos; incremento comprimido por ciclo permanece indisponível.</x:v>
      </x:c>
      <x:c r="P20" s="2"/>
      <x:c r="Q20" s="68" t="str">
        <x:v>n.a.</x:v>
      </x:c>
      <x:c r="R20" s="68" t="str">
        <x:v>n.a.</x:v>
      </x:c>
      <x:c r="S20" s="67" t="str">
        <x:v>n.a.</x:v>
      </x:c>
    </x:row>
    <x:row r="21" ht="77" customHeight="1">
      <x:c r="A21" s="2"/>
      <x:c r="B21" s="71" t="str">
        <x:v>custom_metrics</x:v>
      </x:c>
      <x:c r="C21" s="71" t="str">
        <x:v>Amazon CloudWatch</x:v>
      </x:c>
      <x:c r="D21" s="71" t="str">
        <x:v>Métricas customizadas</x:v>
      </x:c>
      <x:c r="E21" s="72" t="n">
        <x:v>314</x:v>
      </x:c>
      <x:c r="F21" s="73" t="str">
        <x:v>métrica-hora</x:v>
      </x:c>
      <x:c r="G21" s="74" t="n">
        <x:v>0.0004166666666666667</x:v>
      </x:c>
      <x:c r="H21" s="71" t="str">
        <x:v>per_cycle</x:v>
      </x:c>
      <x:c r="I21" s="86" t="str">
        <x:v>2026-10-20 00:00:00+00:00 até 2026-10-27 00:00:00+00:00 (métricas); billing MTD conforme fonte</x:v>
      </x:c>
      <x:c r="J21" s="2"/>
      <x:c r="K21" s="75" t="str">
        <x:v>../finops_2026_10_27/controls/finops_glue_metric_hours.json; ../finops_2026_10_27/controls/fiap_metric_active_hours.json; replay novo tem as mesmas cinco identidades em uma hora UTC</x:v>
      </x:c>
      <x:c r="L21" s="75"/>
      <x:c r="M21" s="75" t="str">
        <x:v>https://aws.amazon.com/cloudwatch/pricing/; https://docs.aws.amazon.com/AmazonCloudWatch/latest/monitoring/working_with_metrics.html; https://pricing.us-east-1.amazonaws.com/offers/v1.0/aws/AmazonCloudWatch/current/us-east-2/index.json</x:v>
      </x:c>
      <x:c r="N21" s="75"/>
      <x:c r="O21" s="75" t="str">
        <x:v>307 horas Glue + 2 FIAP batch + 5 FIAP streaming por ensaio. Preço mensal dividido pelas 720h dos30dias; mesmas séries e amostras como hipótese.</x:v>
      </x:c>
      <x:c r="P21" s="2"/>
      <x:c r="Q21" s="68" t="str">
        <x:v>n.a.</x:v>
      </x:c>
      <x:c r="R21" s="68" t="str">
        <x:v>n.a.</x:v>
      </x:c>
      <x:c r="S21" s="67" t="str">
        <x:v>n.a.</x:v>
      </x:c>
    </x:row>
    <x:row r="22" ht="66" customHeight="1">
      <x:c r="A22" s="2"/>
      <x:c r="B22" s="67" t="str">
        <x:v>alarms</x:v>
      </x:c>
      <x:c r="C22" s="67" t="str">
        <x:v>Amazon CloudWatch</x:v>
      </x:c>
      <x:c r="D22" s="67" t="str">
        <x:v>Cinco alarmes Standard</x:v>
      </x:c>
      <x:c r="E22" s="68" t="n">
        <x:v>5</x:v>
      </x:c>
      <x:c r="F22" s="69" t="str">
        <x:v>métrica-alarme-mês</x:v>
      </x:c>
      <x:c r="G22" s="70" t="n">
        <x:v>0.1</x:v>
      </x:c>
      <x:c r="H22" s="67" t="str">
        <x:v>monthly</x:v>
      </x:c>
      <x:c r="I22" s="84" t="str">
        <x:v>2026-10-27 17:10:23.513537+00:00; mantido no horizonte de 30 dias</x:v>
      </x:c>
      <x:c r="J22" s="2"/>
      <x:c r="K22" s="75" t="str">
        <x:v>../finops_atualizado_20261027/raw/aws/cloudwatch_alarms.json</x:v>
      </x:c>
      <x:c r="L22" s="75"/>
      <x:c r="M22" s="75" t="str">
        <x:v>https://aws.amazon.com/cloudwatch/pricing/; https://pricing.us-east-1.amazonaws.com/offers/v1.0/aws/AmazonCloudWatch/current/us-east-2/index.json</x:v>
      </x:c>
      <x:c r="N22" s="75"/>
      <x:c r="O22" s="75" t="str">
        <x:v>Cada alarme avalia uma métrica; recursos mantidos durante o horizonte. Sem assinatura externa operacional comprovada.</x:v>
      </x:c>
      <x:c r="P22" s="2"/>
      <x:c r="Q22" s="68" t="str">
        <x:v>n.a.</x:v>
      </x:c>
      <x:c r="R22" s="68" t="str">
        <x:v>n.a.</x:v>
      </x:c>
      <x:c r="S22" s="67" t="str">
        <x:v>n.a.</x:v>
      </x:c>
    </x:row>
    <x:row r="23" ht="90" customHeight="1">
      <x:c r="A23" s="2"/>
      <x:c r="B23" s="71" t="str">
        <x:v>lambda_compute</x:v>
      </x:c>
      <x:c r="C23" s="71" t="str">
        <x:v>AWS Lambda</x:v>
      </x:c>
      <x:c r="D23" s="71" t="str">
        <x:v>Consumidor x86,256MB</x:v>
      </x:c>
      <x:c r="E23" s="88" t="n">
        <x:v>4.40675</x:v>
      </x:c>
      <x:c r="F23" s="73" t="str">
        <x:v>GB-segundo</x:v>
      </x:c>
      <x:c r="G23" s="90" t="n">
        <x:v>0.0000166667</x:v>
      </x:c>
      <x:c r="H23" s="71" t="str">
        <x:v>per_cycle</x:v>
      </x:c>
      <x:c r="I23" s="86" t="str">
        <x:v>2026-10-27T15:54:17.722242Z até 2026-10-27T16:00:16.337323Z</x:v>
      </x:c>
      <x:c r="J23" s="2"/>
      <x:c r="K23" s="75" t="str">
        <x:v>../streaming/release_20261027/aws_evidence/exercise_01/runtime_evidence.json; logs.exclusive_target_invocation_totals; 39 REPORTs únicos correlacionados</x:v>
      </x:c>
      <x:c r="L23" s="75"/>
      <x:c r="M23" s="75" t="str">
        <x:v>https://aws.amazon.com/lambda/pricing/; https://pricing.us-east-1.amazonaws.com/offers/v1.0/aws/AWSLambda/current/us-east-2/index.json</x:v>
      </x:c>
      <x:c r="N23" s="75"/>
      <x:c r="O23" s="75" t="str">
        <x:v>17.627 ms faturados = 17,627 segundos, a 256 MB (0,25 GB): 4,40675 GB-s/replay. Já inclui a duração faturável reportada; não adicionar Init Duration. 30 novos, 5 duplicatas e 5 tentativas da mesma mensagem inválida. Memória máxima observada 93 MB não é a memória cobrada.</x:v>
      </x:c>
      <x:c r="P23" s="2"/>
      <x:c r="Q23" s="68" t="str">
        <x:v>n.a.</x:v>
      </x:c>
      <x:c r="R23" s="68" t="str">
        <x:v>n.a.</x:v>
      </x:c>
      <x:c r="S23" s="67" t="str">
        <x:v>n.a.</x:v>
      </x:c>
    </x:row>
    <x:row r="24" ht="66" customHeight="1">
      <x:c r="A24" s="2"/>
      <x:c r="B24" s="67" t="str">
        <x:v>lambda_requests</x:v>
      </x:c>
      <x:c r="C24" s="67" t="str">
        <x:v>AWS Lambda</x:v>
      </x:c>
      <x:c r="D24" s="67" t="str">
        <x:v>Invocações do replay</x:v>
      </x:c>
      <x:c r="E24" s="68" t="n">
        <x:v>39</x:v>
      </x:c>
      <x:c r="F24" s="69" t="str">
        <x:v>requests</x:v>
      </x:c>
      <x:c r="G24" s="81" t="n">
        <x:v>2e-7</x:v>
      </x:c>
      <x:c r="H24" s="67" t="str">
        <x:v>per_cycle</x:v>
      </x:c>
      <x:c r="I24" s="84" t="str">
        <x:v>2026-10-27T15:54:17.722242Z até 2026-10-27T16:00:16.337323Z</x:v>
      </x:c>
      <x:c r="J24" s="2"/>
      <x:c r="K24" s="75" t="str">
        <x:v>../streaming/release_20261027/aws_evidence/exercise_01/runtime_evidence.json; 39 REPORTs únicos; não adicionar ao CE</x:v>
      </x:c>
      <x:c r="L24" s="75"/>
      <x:c r="M24" s="75" t="str">
        <x:v>https://aws.amazon.com/lambda/pricing/; https://pricing.us-east-1.amazonaws.com/offers/v1.0/aws/AWSLambda/current/us-east-2/index.json</x:v>
      </x:c>
      <x:c r="N24" s="75"/>
      <x:c r="O24" s="75" t="str">
        <x:v>39 invocações do ensaio novo, incluindo cinco tentativas inválidas; substituir a referência antiga, sem acumular os dois ensaios no fator futuro.</x:v>
      </x:c>
      <x:c r="P24" s="2"/>
      <x:c r="Q24" s="68" t="str">
        <x:v>n.a.</x:v>
      </x:c>
      <x:c r="R24" s="68" t="str">
        <x:v>n.a.</x:v>
      </x:c>
      <x:c r="S24" s="67" t="str">
        <x:v>n.a.</x:v>
      </x:c>
    </x:row>
    <x:row r="25" ht="90" customHeight="1">
      <x:c r="A25" s="2"/>
      <x:c r="B25" s="71" t="str">
        <x:v>sqs_requests</x:v>
      </x:c>
      <x:c r="C25" s="71" t="str">
        <x:v>Amazon SQS</x:v>
      </x:c>
      <x:c r="D25" s="71" t="str">
        <x:v>Requests Standard, incluindo polling</x:v>
      </x:c>
      <x:c r="E25" s="72" t="n">
        <x:v>55158</x:v>
      </x:c>
      <x:c r="F25" s="73" t="str">
        <x:v>requests</x:v>
      </x:c>
      <x:c r="G25" s="79" t="n">
        <x:v>4e-7</x:v>
      </x:c>
      <x:c r="H25" s="71" t="str">
        <x:v>observed_period</x:v>
      </x:c>
      <x:c r="I25" s="86" t="str">
        <x:v>2026-10-21T00:00:00Z até 2026-10-27T00:00:00Z exclusive; seis dias UTC completos; CE Estimated=true</x:v>
      </x:c>
      <x:c r="J25" s="2"/>
      <x:c r="K25" s="75" t="str">
        <x:v>../finops_atualizado_20261027/raw/aws/cost_explorer_usage_types.json; DAILY; soma de todos os grupos e dos seis dias selecionados; filtro RECORD_TYPE=Usage</x:v>
      </x:c>
      <x:c r="L25" s="75"/>
      <x:c r="M25" s="75" t="str">
        <x:v>https://aws.amazon.com/sqs/pricing/; https://repost.aws/knowledge-center/sqs-high-charges; https://docs.aws.amazon.com/AWSSimpleQueueService/latest/SQSDeveloperGuide/sqs-short-and-long-polling.html; https://pricing.us-east-1.amazonaws.com/offers/v1.0/aws/AWSQueueService/current/us-east-2/index.json</x:v>
      </x:c>
      <x:c r="N25" s="75"/>
      <x:c r="O25" s="75" t="str">
        <x:v>Extrapolação histórica de apoio por 30/6. Conta inteira; não é medição de requests por ciclo. Janela sem Bronze nem replay, contém Silver/Gold e desenvolvimento; pode subestimar quatro novas ingestões completas. CE estimado e sujeito a atraso.</x:v>
      </x:c>
      <x:c r="P25" s="2"/>
      <x:c r="Q25" s="68" t="n">
        <x:v>6</x:v>
      </x:c>
      <x:c r="R25" s="68" t="str">
        <x:v>n.a.</x:v>
      </x:c>
      <x:c r="S25" s="67" t="str">
        <x:v>n.a.</x:v>
      </x:c>
    </x:row>
    <x:row r="26" ht="66" customHeight="1">
      <x:c r="A26" s="2"/>
      <x:c r="B26" s="67" t="str">
        <x:v>secrets</x:v>
      </x:c>
      <x:c r="C26" s="67" t="str">
        <x:v>Secrets Manager</x:v>
      </x:c>
      <x:c r="D26" s="67" t="str">
        <x:v>Um segredo mantido</x:v>
      </x:c>
      <x:c r="E26" s="68" t="n">
        <x:v>1</x:v>
      </x:c>
      <x:c r="F26" s="69" t="str">
        <x:v>segredo-mês</x:v>
      </x:c>
      <x:c r="G26" s="70" t="n">
        <x:v>0.4</x:v>
      </x:c>
      <x:c r="H26" s="67" t="str">
        <x:v>monthly</x:v>
      </x:c>
      <x:c r="I26" s="84" t="str">
        <x:v>2026-10-27 17:10:23.513537+00:00; mantido no horizonte de 30 dias</x:v>
      </x:c>
      <x:c r="J26" s="2"/>
      <x:c r="K26" s="75" t="str">
        <x:v>../finops_atualizado_20261027/raw/aws/secret_metadata.json; somente metadados</x:v>
      </x:c>
      <x:c r="L26" s="75"/>
      <x:c r="M26" s="75" t="str">
        <x:v>https://aws.amazon.com/secrets-manager/pricing/; https://pricing.us-east-1.amazonaws.com/offers/v1.0/aws/AWSSecretsManager/current/us-east-2/index.json</x:v>
      </x:c>
      <x:c r="N26" s="75"/>
      <x:c r="O26" s="75" t="str">
        <x:v>Mantido no mês; não duplicado por cada camada.</x:v>
      </x:c>
      <x:c r="P26" s="2"/>
      <x:c r="Q26" s="68" t="str">
        <x:v>n.a.</x:v>
      </x:c>
      <x:c r="R26" s="68" t="str">
        <x:v>n.a.</x:v>
      </x:c>
      <x:c r="S26" s="67" t="str">
        <x:v>n.a.</x:v>
      </x:c>
    </x:row>
    <x:row r="27" ht="77" customHeight="1">
      <x:c r="A27" s="2"/>
      <x:c r="B27" s="71" t="str">
        <x:v>secret_api</x:v>
      </x:c>
      <x:c r="C27" s="71" t="str">
        <x:v>Secrets Manager</x:v>
      </x:c>
      <x:c r="D27" s="71" t="str">
        <x:v>Chamadas de API</x:v>
      </x:c>
      <x:c r="E27" s="72" t="n">
        <x:v>1</x:v>
      </x:c>
      <x:c r="F27" s="73" t="str">
        <x:v>requests</x:v>
      </x:c>
      <x:c r="G27" s="74" t="n">
        <x:v>0.000005</x:v>
      </x:c>
      <x:c r="H27" s="71" t="str">
        <x:v>observed_period</x:v>
      </x:c>
      <x:c r="I27" s="86" t="str">
        <x:v>2026-10-21T00:00:00Z até 2026-10-27T00:00:00Z exclusive; seis dias UTC completos; CE Estimated=true</x:v>
      </x:c>
      <x:c r="J27" s="2"/>
      <x:c r="K27" s="75" t="str">
        <x:v>../finops_atualizado_20261027/raw/aws/cost_explorer_usage_types.json; DAILY; soma de todos os grupos e dos seis dias selecionados; filtro RECORD_TYPE=Usage</x:v>
      </x:c>
      <x:c r="L27" s="75"/>
      <x:c r="M27" s="75" t="str">
        <x:v>https://aws.amazon.com/secrets-manager/pricing/; https://pricing.us-east-1.amazonaws.com/offers/v1.0/aws/AWSSecretsManager/current/us-east-2/index.json</x:v>
      </x:c>
      <x:c r="N27" s="75"/>
      <x:c r="O27" s="75" t="str">
        <x:v>Extrapolação histórica de apoio por 30/6. Conta inteira; não é medição de requests por ciclo. Janela sem Bronze nem replay, contém Silver/Gold e desenvolvimento; pode subestimar quatro novas ingestões completas. CE estimado e sujeito a atraso.</x:v>
      </x:c>
      <x:c r="P27" s="2"/>
      <x:c r="Q27" s="68" t="n">
        <x:v>6</x:v>
      </x:c>
      <x:c r="R27" s="68" t="str">
        <x:v>n.a.</x:v>
      </x:c>
      <x:c r="S27" s="67" t="str">
        <x:v>n.a.</x:v>
      </x:c>
    </x:row>
    <x:row r="28" ht="103" customHeight="1">
      <x:c r="A28" s="2"/>
      <x:c r="B28" s="67" t="str">
        <x:v>catalog_storage</x:v>
      </x:c>
      <x:c r="C28" s="67" t="str">
        <x:v>Glue Data Catalog</x:v>
      </x:c>
      <x:c r="D28" s="67" t="str">
        <x:v>Armazenamento de metadados</x:v>
      </x:c>
      <x:c r="E28" s="68" t="n">
        <x:v>2.455645107</x:v>
      </x:c>
      <x:c r="F28" s="69" t="str">
        <x:v>objeto-mês</x:v>
      </x:c>
      <x:c r="G28" s="70" t="n">
        <x:v>0.00001</x:v>
      </x:c>
      <x:c r="H28" s="67" t="str">
        <x:v>observed_period</x:v>
      </x:c>
      <x:c r="I28" s="84" t="str">
        <x:v>2026-10-21T00:00:00Z até 2026-10-27T00:00:00Z exclusive; seis dias UTC completos; CE Estimated=true</x:v>
      </x:c>
      <x:c r="J28" s="2"/>
      <x:c r="K28" s="75" t="str">
        <x:v>../finops_atualizado_20261027/raw/aws/cost_explorer_usage_types.json; DAILY; soma de todos os grupos e dos seis dias selecionados; filtro RECORD_TYPE=Usage</x:v>
      </x:c>
      <x:c r="L28" s="75"/>
      <x:c r="M28" s="75" t="str">
        <x:v>https://aws.amazon.com/glue/pricing/; https://pricing.us-east-1.amazonaws.com/offers/v1.0/aws/AWSGlue/current/us-east-2/index.json</x:v>
      </x:c>
      <x:c r="N28" s="75"/>
      <x:c r="O28" s="75" t="str">
        <x:v>Obj-Month já é uso histórico integrado no tempo: extrapolação por 30/6, não contagem de objetos atuais. Equivale a 12,278225535 Obj-Month/30d, abaixo das 22 tabelas atuais. Tabelas não são todos os objetos faturáveis; versões/partições não foram inventariadas. Proxy de apoio sujeita a subestimação. Cobrança atual zero na franquia.</x:v>
      </x:c>
      <x:c r="P28" s="2"/>
      <x:c r="Q28" s="68" t="n">
        <x:v>6</x:v>
      </x:c>
      <x:c r="R28" s="68" t="str">
        <x:v>n.a.</x:v>
      </x:c>
      <x:c r="S28" s="67" t="str">
        <x:v>n.a.</x:v>
      </x:c>
    </x:row>
    <x:row r="29" ht="77" customHeight="1">
      <x:c r="A29" s="2"/>
      <x:c r="B29" s="71" t="str">
        <x:v>catalog_requests</x:v>
      </x:c>
      <x:c r="C29" s="71" t="str">
        <x:v>Glue Data Catalog</x:v>
      </x:c>
      <x:c r="D29" s="71" t="str">
        <x:v>Requests de catálogo</x:v>
      </x:c>
      <x:c r="E29" s="72" t="n">
        <x:v>91</x:v>
      </x:c>
      <x:c r="F29" s="73" t="str">
        <x:v>requests</x:v>
      </x:c>
      <x:c r="G29" s="74" t="n">
        <x:v>0.000001</x:v>
      </x:c>
      <x:c r="H29" s="71" t="str">
        <x:v>observed_period</x:v>
      </x:c>
      <x:c r="I29" s="86" t="str">
        <x:v>2026-10-21T00:00:00Z até 2026-10-27T00:00:00Z exclusive; seis dias UTC completos; CE Estimated=true</x:v>
      </x:c>
      <x:c r="J29" s="2"/>
      <x:c r="K29" s="75" t="str">
        <x:v>../finops_atualizado_20261027/raw/aws/cost_explorer_usage_types.json; DAILY; soma de todos os grupos e dos seis dias selecionados; filtro RECORD_TYPE=Usage</x:v>
      </x:c>
      <x:c r="L29" s="75"/>
      <x:c r="M29" s="75" t="str">
        <x:v>https://aws.amazon.com/glue/pricing/; https://pricing.us-east-1.amazonaws.com/offers/v1.0/aws/AWSGlue/current/us-east-2/index.json</x:v>
      </x:c>
      <x:c r="N29" s="75"/>
      <x:c r="O29" s="75" t="str">
        <x:v>Extrapolação histórica de apoio por 30/6. Conta inteira; não é medição de requests por ciclo. Janela sem Bronze nem replay, contém Silver/Gold e desenvolvimento; pode subestimar quatro novas ingestões completas. CE estimado e sujeito a atraso.</x:v>
      </x:c>
      <x:c r="P29" s="2"/>
      <x:c r="Q29" s="68" t="n">
        <x:v>6</x:v>
      </x:c>
      <x:c r="R29" s="68" t="str">
        <x:v>n.a.</x:v>
      </x:c>
      <x:c r="S29" s="67" t="str">
        <x:v>n.a.</x:v>
      </x:c>
    </x:row>
    <x:row r="30" ht="66" customHeight="1">
      <x:c r="A30" s="2"/>
      <x:c r="B30" s="67" t="str">
        <x:v>s3_inbound</x:v>
      </x:c>
      <x:c r="C30" s="67" t="str">
        <x:v>Amazon S3</x:v>
      </x:c>
      <x:c r="D30" s="67" t="str">
        <x:v>Entrada comum de dados</x:v>
      </x:c>
      <x:c r="E30" s="68" t="n">
        <x:v>0</x:v>
      </x:c>
      <x:c r="F30" s="69" t="str">
        <x:v>GB</x:v>
      </x:c>
      <x:c r="G30" s="70" t="n">
        <x:v>0</x:v>
      </x:c>
      <x:c r="H30" s="67" t="str">
        <x:v>observed_period</x:v>
      </x:c>
      <x:c r="I30" s="84" t="str">
        <x:v>2026-10-21T00:00:00Z até 2026-10-27T00:00:00Z exclusive; seis dias UTC completos; CE Estimated=true</x:v>
      </x:c>
      <x:c r="J30" s="2"/>
      <x:c r="K30" s="75" t="str">
        <x:v>../finops_atualizado_20261027/raw/aws/cost_explorer_usage_types.json; DAILY; soma de todos os grupos e dos seis dias selecionados; filtro RECORD_TYPE=Usage</x:v>
      </x:c>
      <x:c r="L30" s="75"/>
      <x:c r="M30" s="75" t="str">
        <x:v>https://aws.amazon.com/s3/pricing/</x:v>
      </x:c>
      <x:c r="N30" s="75"/>
      <x:c r="O30" s="75" t="str">
        <x:v>Nenhuma quantidade desse usage type nos seis dias selecionados (zero observado nesse escopo CE). Tarifa AWS de ingresso comum é zero. Não mede leitura nem egress Google e não os substitui.</x:v>
      </x:c>
      <x:c r="P30" s="2"/>
      <x:c r="Q30" s="68" t="n">
        <x:v>6</x:v>
      </x:c>
      <x:c r="R30" s="68" t="str">
        <x:v>n.a.</x:v>
      </x:c>
      <x:c r="S30" s="67" t="str">
        <x:v>n.a.</x:v>
      </x:c>
    </x:row>
    <x:row r="31" ht="90" customHeight="1">
      <x:c r="A31" s="2"/>
      <x:c r="B31" s="71" t="str">
        <x:v>gcp_read</x:v>
      </x:c>
      <x:c r="C31" s="71" t="str">
        <x:v>Google Cloud</x:v>
      </x:c>
      <x:c r="D31" s="71" t="str">
        <x:v>Leitura integral prospectiva das sete tabelas</x:v>
      </x:c>
      <x:c r="E31" s="90" t="n">
        <x:v>0.00024697117714822525</x:v>
      </x:c>
      <x:c r="F31" s="73" t="str">
        <x:v>TiB</x:v>
      </x:c>
      <x:c r="G31" s="74" t="n">
        <x:v>1.1</x:v>
      </x:c>
      <x:c r="H31" s="71" t="str">
        <x:v>per_cycle</x:v>
      </x:c>
      <x:c r="I31" s="86" t="str">
        <x:v>2026-10-27T18:16:50.016409+00:00; metadados atuais conciliados com a referência Bronze</x:v>
      </x:c>
      <x:c r="J31" s="2"/>
      <x:c r="K31" s="75" t="str">
        <x:v>raw/gcp_existing_metrics.json; fechamento_gcp.json; ../manifesto_bronze.json; ../../outputs/bronze_glue.py</x:v>
      </x:c>
      <x:c r="L31" s="75"/>
      <x:c r="M31" s="75" t="str">
        <x:v>https://cloud.google.com/bigquery/pricing; https://docs.cloud.google.com/bigquery/docs/reference/storage</x:v>
      </x:c>
      <x:c r="N31" s="75"/>
      <x:c r="O31" s="75" t="str">
        <x:v>Projeção prospectiva: uma leitura integral por batch das mesmas sete tabelas, todas as colunas e linhas. Não é histórico faturado nem garantia de teto para retries, leituras adicionais ou previews. Atualização da fonte exige nova medição de metadados. Franquia de 300 TiB por conta não aplicada.</x:v>
      </x:c>
      <x:c r="P31" s="2"/>
      <x:c r="Q31" s="68" t="str">
        <x:v>n.a.</x:v>
      </x:c>
      <x:c r="R31" s="68" t="str">
        <x:v>n.a.</x:v>
      </x:c>
      <x:c r="S31" s="67" t="str">
        <x:v>n.a.</x:v>
      </x:c>
    </x:row>
    <x:row r="32" ht="103" customHeight="1">
      <x:c r="A32" s="2"/>
      <x:c r="B32" s="67" t="str">
        <x:v>gcp_egress</x:v>
      </x:c>
      <x:c r="C32" s="67" t="str">
        <x:v>Google Cloud</x:v>
      </x:c>
      <x:c r="D32" s="67" t="str">
        <x:v>Saída GCP para AWS</x:v>
      </x:c>
      <x:c r="E32" s="68" t="str">
        <x:v>n.a.</x:v>
      </x:c>
      <x:c r="F32" s="69" t="str">
        <x:v>GiB</x:v>
      </x:c>
      <x:c r="G32" s="70" t="n">
        <x:v>0.12</x:v>
      </x:c>
      <x:c r="H32" s="67" t="str">
        <x:v>pending</x:v>
      </x:c>
      <x:c r="I32" s="84" t="str">
        <x:v>20/10/2026 18:20–18:30 UTC; coleta 2026-10-27T18:16:50.016409+00:00</x:v>
      </x:c>
      <x:c r="J32" s="2"/>
      <x:c r="K32" s="75" t="str">
        <x:v>raw/gcp_existing_metrics.json; fechamento_gcp.json</x:v>
      </x:c>
      <x:c r="L32" s="75"/>
      <x:c r="M32" s="75" t="str">
        <x:v>https://cloud.google.com/bigquery/pricing; https://docs.cloud.google.com/bigquery/docs/reference/storage</x:v>
      </x:c>
      <x:c r="N32" s="75"/>
      <x:c r="O32" s="75" t="str">
        <x:v>ReadRows response_sizes observou 1.860.997 bytes na janela do projeto, que contém batch e previews. Não foi estabelecida equivalência entre a distribuição de respostas e todos os blocos de streaming, rota ou SKU de egress. Auditoria do consumidor não retornou registros com bytes. Tamanho lógico e Parquet não substituem rede.</x:v>
      </x:c>
      <x:c r="P32" s="2"/>
      <x:c r="Q32" s="68" t="str">
        <x:v>n.a.</x:v>
      </x:c>
      <x:c r="R32" s="68" t="str">
        <x:v>n.a.</x:v>
      </x:c>
      <x:c r="S32" s="67" t="str">
        <x:v>n.a.</x:v>
      </x:c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34" customHeight="1">
      <x:c r="A35" s="2"/>
      <x:c r="B35" s="21" t="str">
        <x:v>ID</x:v>
      </x:c>
      <x:c r="C35" s="21" t="str">
        <x:v>Serviço</x:v>
      </x:c>
      <x:c r="D35" s="21" t="str">
        <x:v>Medição adicional</x:v>
      </x:c>
      <x:c r="E35" s="21" t="str">
        <x:v>Quantidade</x:v>
      </x:c>
      <x:c r="F35" s="21" t="str">
        <x:v>Unidade</x:v>
      </x:c>
      <x:c r="G35" s="21" t="str">
        <x:v>Tarifa USD/un.</x:v>
      </x:c>
      <x:c r="H35" s="21" t="str">
        <x:v>Base</x:v>
      </x:c>
      <x:c r="I35" s="21" t="str">
        <x:v>Período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56" customHeight="1">
      <x:c r="A36" s="2"/>
      <x:c r="B36" s="67" t="str">
        <x:v>s3_stock</x:v>
      </x:c>
      <x:c r="C36" s="67" t="str">
        <x:v>Amazon S3</x:v>
      </x:c>
      <x:c r="D36" s="67" t="str">
        <x:v>Estoque de dois buckets</x:v>
      </x:c>
      <x:c r="E36" s="67" t="n">
        <x:v>274003263</x:v>
      </x:c>
      <x:c r="F36" s="67" t="str">
        <x:v>bytes</x:v>
      </x:c>
      <x:c r="G36" s="67" t="str">
        <x:v>n.a.</x:v>
      </x:c>
      <x:c r="H36" s="67" t="str">
        <x:v>observado</x:v>
      </x:c>
      <x:c r="I36" s="84" t="str">
        <x:v>2026-10-27 17:10:23.513537+00:00</x:v>
      </x:c>
      <x:c r="J36" s="2"/>
      <x:c r="K36" s="67" t="str">
        <x:v>../finops_atualizado_20261027/raw/aws/s3_inventory.json</x:v>
      </x:c>
      <x:c r="L36" s="67"/>
      <x:c r="M36" s="67"/>
      <x:c r="N36" s="67"/>
      <x:c r="O36" s="67" t="str">
        <x:v>526 objetos, dois buckets; todas as classes STANDARD; histórico preservado.</x:v>
      </x:c>
      <x:c r="P36" s="2"/>
      <x:c r="Q36" s="2"/>
      <x:c r="R36" s="2"/>
      <x:c r="S36" s="2"/>
    </x:row>
    <x:row r="37" ht="56" customHeight="1">
      <x:c r="A37" s="2"/>
      <x:c r="B37" s="67" t="str">
        <x:v>snapshot_increment</x:v>
      </x:c>
      <x:c r="C37" s="67" t="str">
        <x:v>Amazon S3</x:v>
      </x:c>
      <x:c r="D37" s="67" t="str">
        <x:v>Dados e auditorias por ciclo completo</x:v>
      </x:c>
      <x:c r="E37" s="67" t="n">
        <x:v>145052840</x:v>
      </x:c>
      <x:c r="F37" s="67" t="str">
        <x:v>bytes/ciclo</x:v>
      </x:c>
      <x:c r="G37" s="67" t="str">
        <x:v>n.a.</x:v>
      </x:c>
      <x:c r="H37" s="67" t="str">
        <x:v>observado</x:v>
      </x:c>
      <x:c r="I37" s="84" t="str">
        <x:v>Batch20/22/27Oct; replay27Oct15:54UTC</x:v>
      </x:c>
      <x:c r="J37" s="2"/>
      <x:c r="K37" s="67" t="str">
        <x:v>../finops_atualizado_20261027/raw/aws/s3_inventory.json; referências batch e replay comprovados</x:v>
      </x:c>
      <x:c r="L37" s="67"/>
      <x:c r="M37" s="67"/>
      <x:c r="N37" s="67"/>
      <x:c r="O37" s="67" t="str">
        <x:v>144.656.163 bytes/batch e 396.677 bytes/replay; soma combinada só para o cenário 4+4; drivers separados na linha S3.</x:v>
      </x:c>
      <x:c r="P37" s="2"/>
      <x:c r="Q37" s="2"/>
      <x:c r="R37" s="2"/>
      <x:c r="S37" s="2"/>
    </x:row>
    <x:row r="38" ht="56" customHeight="1">
      <x:c r="A38" s="2"/>
      <x:c r="B38" s="67" t="str">
        <x:v>lambda_billed</x:v>
      </x:c>
      <x:c r="C38" s="67" t="str">
        <x:v>AWS Lambda</x:v>
      </x:c>
      <x:c r="D38" s="67" t="str">
        <x:v>Duração faturada</x:v>
      </x:c>
      <x:c r="E38" s="67" t="n">
        <x:v>17627</x:v>
      </x:c>
      <x:c r="F38" s="67" t="str">
        <x:v>ms</x:v>
      </x:c>
      <x:c r="G38" s="67" t="str">
        <x:v>n.a.</x:v>
      </x:c>
      <x:c r="H38" s="67" t="str">
        <x:v>observado</x:v>
      </x:c>
      <x:c r="I38" s="84" t="str">
        <x:v>2026-10-27T15:54:17.722242Z até 2026-10-27T16:00:16.337323Z</x:v>
      </x:c>
      <x:c r="J38" s="2"/>
      <x:c r="K38" s="67" t="str">
        <x:v>../streaming/release_20261027/aws_evidence/exercise_01/runtime_evidence.json</x:v>
      </x:c>
      <x:c r="L38" s="67"/>
      <x:c r="M38" s="67"/>
      <x:c r="N38" s="67"/>
      <x:c r="O38" s="67" t="str">
        <x:v>39 REPORTs exclusivos; 256 MB configurados; 4,40675 GB-s. Não somar o ensaio antigo.</x:v>
      </x:c>
      <x:c r="P38" s="2"/>
      <x:c r="Q38" s="2"/>
      <x:c r="R38" s="2"/>
      <x:c r="S38" s="2"/>
    </x:row>
    <x:row r="39" ht="56" customHeight="1">
      <x:c r="A39" s="2"/>
      <x:c r="B39" s="67" t="str">
        <x:v>sqs_idle</x:v>
      </x:c>
      <x:c r="C39" s="67" t="str">
        <x:v>Amazon SQS</x:v>
      </x:c>
      <x:c r="D39" s="67" t="str">
        <x:v>Polling vazio por dia ocioso</x:v>
      </x:c>
      <x:c r="E39" s="67" t="n">
        <x:v>8636.5</x:v>
      </x:c>
      <x:c r="F39" s="67" t="str">
        <x:v>empty receives/dia</x:v>
      </x:c>
      <x:c r="G39" s="67" t="str">
        <x:v>n.a.</x:v>
      </x:c>
      <x:c r="H39" s="67" t="str">
        <x:v>observado</x:v>
      </x:c>
      <x:c r="I39" s="84" t="str">
        <x:v>21-26/10UTC,6dias completos</x:v>
      </x:c>
      <x:c r="J39" s="2"/>
      <x:c r="K39" s="67" t="str">
        <x:v>AWS/SQS NumberOfEmptyReceives</x:v>
      </x:c>
      <x:c r="L39" s="67"/>
      <x:c r="M39" s="67"/>
      <x:c r="N39" s="67"/>
      <x:c r="O39" s="67" t="str">
        <x:v>Não é toda a quantidade de requests faturáveis.</x:v>
      </x:c>
      <x:c r="P39" s="2"/>
      <x:c r="Q39" s="2"/>
      <x:c r="R39" s="2"/>
      <x:c r="S39" s="2"/>
    </x:row>
    <x:row r="40" ht="56" customHeight="1">
      <x:c r="A40" s="2"/>
      <x:c r="B40" s="67" t="str">
        <x:v>preview_compute</x:v>
      </x:c>
      <x:c r="C40" s="67" t="str">
        <x:v>AWS Glue</x:v>
      </x:c>
      <x:c r="D40" s="67" t="str">
        <x:v>Sessões interativas já registradas</x:v>
      </x:c>
      <x:c r="E40" s="67" t="n">
        <x:v>6.261662</x:v>
      </x:c>
      <x:c r="F40" s="67" t="str">
        <x:v>DPU-hora</x:v>
      </x:c>
      <x:c r="G40" s="67" t="str">
        <x:v>n.a.</x:v>
      </x:c>
      <x:c r="H40" s="67" t="str">
        <x:v>observado</x:v>
      </x:c>
      <x:c r="I40" s="84" t="str">
        <x:v>MTD</x:v>
      </x:c>
      <x:c r="J40" s="2"/>
      <x:c r="K40" s="67" t="str">
        <x:v>../finops_atualizado_20261027/raw/aws/cost_explorer_usage_types.json; filtro RECORD_TYPE=Usage; quantidade e unidade da API</x:v>
      </x:c>
      <x:c r="L40" s="67"/>
      <x:c r="M40" s="67"/>
      <x:c r="N40" s="67"/>
      <x:c r="O40" s="67" t="str">
        <x:v>Seis sessões. Não previstas no cenário; não abrirDataPreviewpara reproduzir relatórios.</x:v>
      </x:c>
      <x:c r="P40" s="2"/>
      <x:c r="Q40" s="2"/>
      <x:c r="R40" s="2"/>
      <x:c r="S40" s="2"/>
    </x:row>
    <x:row r="41" ht="56" customHeight="1">
      <x:c r="A41" s="2"/>
      <x:c r="B41" s="67" t="str">
        <x:v>metric_hours</x:v>
      </x:c>
      <x:c r="C41" s="67" t="str">
        <x:v>Amazon CloudWatch</x:v>
      </x:c>
      <x:c r="D41" s="67" t="str">
        <x:v>Métricas Glue com amostras nas referências</x:v>
      </x:c>
      <x:c r="E41" s="67" t="n">
        <x:v>307</x:v>
      </x:c>
      <x:c r="F41" s="67" t="str">
        <x:v>métrica-hora/ciclo</x:v>
      </x:c>
      <x:c r="G41" s="67" t="str">
        <x:v>n.a.</x:v>
      </x:c>
      <x:c r="H41" s="67" t="str">
        <x:v>observado</x:v>
      </x:c>
      <x:c r="I41" s="84" t="str">
        <x:v>Janelas horárias dos3runs</x:v>
      </x:c>
      <x:c r="J41" s="2"/>
      <x:c r="K41" s="67" t="str">
        <x:v>../finops_2026_10_27/controls/finops_glue_metric_hours.json</x:v>
      </x:c>
      <x:c r="L41" s="67"/>
      <x:c r="M41" s="67"/>
      <x:c r="N41" s="67"/>
      <x:c r="O41" s="67" t="str">
        <x:v>255 consultas de séries; incluiJobRunId eALL; métricas FIAP tratadas separadamente.</x:v>
      </x:c>
      <x:c r="P41" s="2"/>
      <x:c r="Q41" s="2"/>
      <x:c r="R41" s="2"/>
      <x:c r="S41" s="2"/>
    </x:row>
    <x:row r="42" ht="56" customHeight="1">
      <x:c r="A42" s="2"/>
      <x:c r="B42" s="67" t="str">
        <x:v>replay_s3_increment</x:v>
      </x:c>
      <x:c r="C42" s="67" t="str">
        <x:v>Amazon S3</x:v>
      </x:c>
      <x:c r="D42" s="67" t="str">
        <x:v>Objetos comprovados do replay positivo/negativo e auditorias</x:v>
      </x:c>
      <x:c r="E42" s="67" t="n">
        <x:v>396677</x:v>
      </x:c>
      <x:c r="F42" s="67" t="str">
        <x:v>bytes/replay</x:v>
      </x:c>
      <x:c r="G42" s="67" t="str">
        <x:v>n.a.</x:v>
      </x:c>
      <x:c r="H42" s="67" t="str">
        <x:v>observado</x:v>
      </x:c>
      <x:c r="I42" s="84" t="str">
        <x:v>2026-10-27 17:10:23.513537+00:00</x:v>
      </x:c>
      <x:c r="J42" s="2"/>
      <x:c r="K42" s="67" t="str">
        <x:v>../finops_atualizado_20261027/raw/aws/s3_inventory.json; chaves dos runs sim_gold_20261027T155422Z_a52da0a7 e invalid_weight_489d809c1c474853</x:v>
      </x:c>
      <x:c r="L42" s="67"/>
      <x:c r="M42" s="67"/>
      <x:c r="N42" s="67"/>
      <x:c r="O42" s="67" t="str">
        <x:v>171 objetos por chave; não representa 171 requests totais.</x:v>
      </x:c>
      <x:c r="P42" s="2"/>
      <x:c r="Q42" s="2"/>
      <x:c r="R42" s="2"/>
      <x:c r="S42" s="2"/>
    </x:row>
    <x:row r="43" ht="56" customHeight="1">
      <x:c r="A43" s="2"/>
      <x:c r="B43" s="67" t="str">
        <x:v>logs_T3_stock</x:v>
      </x:c>
      <x:c r="C43" s="67" t="str">
        <x:v>CloudWatch Logs</x:v>
      </x:c>
      <x:c r="D43" s="67" t="str">
        <x:v>Estoque reportado na coleta ampliada</x:v>
      </x:c>
      <x:c r="E43" s="67" t="n">
        <x:v>7417226</x:v>
      </x:c>
      <x:c r="F43" s="67" t="str">
        <x:v>bytes</x:v>
      </x:c>
      <x:c r="G43" s="67" t="str">
        <x:v>n.a.</x:v>
      </x:c>
      <x:c r="H43" s="67" t="str">
        <x:v>observado</x:v>
      </x:c>
      <x:c r="I43" s="85" t="d">
        <x:v>2026-10-27T18:02:12.430Z</x:v>
      </x:c>
      <x:c r="J43" s="2"/>
      <x:c r="K43" s="67" t="str">
        <x:v>raw/aws_logs/log_growth_readonly.json</x:v>
      </x:c>
      <x:c r="L43" s="67"/>
      <x:c r="M43" s="67"/>
      <x:c r="N43" s="67"/>
      <x:c r="O43" s="67" t="str">
        <x:v>7.417.226 bytes; estoque estável por grupo; não demonstra geração comprimida zero.</x:v>
      </x:c>
      <x:c r="P43" s="2"/>
      <x:c r="Q43" s="2"/>
      <x:c r="R43" s="2"/>
      <x:c r="S43" s="2"/>
    </x:row>
    <x:row r="44" ht="56" customHeight="1">
      <x:c r="A44" s="2"/>
      <x:c r="B44" s="67" t="str">
        <x:v>gcp_logical_capacity</x:v>
      </x:c>
      <x:c r="C44" s="67" t="str">
        <x:v>BigQuery</x:v>
      </x:c>
      <x:c r="D44" s="67" t="str">
        <x:v>Capacidade lógica medida das sete tabelas</x:v>
      </x:c>
      <x:c r="E44" s="67" t="n">
        <x:v>271547681</x:v>
      </x:c>
      <x:c r="F44" s="67" t="str">
        <x:v>bytes</x:v>
      </x:c>
      <x:c r="G44" s="67" t="str">
        <x:v>n.a.</x:v>
      </x:c>
      <x:c r="H44" s="67" t="str">
        <x:v>observado</x:v>
      </x:c>
      <x:c r="I44" s="85" t="d">
        <x:v>2026-10-27T18:16:50.016Z</x:v>
      </x:c>
      <x:c r="J44" s="2"/>
      <x:c r="K44" s="67" t="str">
        <x:v>raw/gcp_existing_metrics.json; fechamento_gcp.json</x:v>
      </x:c>
      <x:c r="L44" s="67"/>
      <x:c r="M44" s="67"/>
      <x:c r="N44" s="67"/>
      <x:c r="O44" s="67" t="str">
        <x:v>Metadados conciliados com 3.902.954 linhas Bronze; base prospectiva de uma leitura integral, não histórico faturado.</x:v>
      </x:c>
      <x:c r="P44" s="2"/>
      <x:c r="Q44" s="2"/>
      <x:c r="R44" s="2"/>
      <x:c r="S44" s="2"/>
    </x:row>
    <x:row r="45" ht="56" customHeight="1">
      <x:c r="A45" s="2"/>
      <x:c r="B45" s="67" t="str">
        <x:v>gcp_readrows_response_bytes</x:v>
      </x:c>
      <x:c r="C45" s="67" t="str">
        <x:v>BigQuery Storage API</x:v>
      </x:c>
      <x:c r="D45" s="67" t="str">
        <x:v>Soma de response_sizes de ReadRows</x:v>
      </x:c>
      <x:c r="E45" s="67" t="n">
        <x:v>1860997</x:v>
      </x:c>
      <x:c r="F45" s="67" t="str">
        <x:v>bytes de telemetria</x:v>
      </x:c>
      <x:c r="G45" s="67" t="str">
        <x:v>n.a.</x:v>
      </x:c>
      <x:c r="H45" s="67" t="str">
        <x:v>observado</x:v>
      </x:c>
      <x:c r="I45" s="84" t="str">
        <x:v>20/10/2026 18:20–18:30 UTC</x:v>
      </x:c>
      <x:c r="J45" s="2"/>
      <x:c r="K45" s="67" t="str">
        <x:v>raw/gcp_existing_metrics.json</x:v>
      </x:c>
      <x:c r="L45" s="67"/>
      <x:c r="M45" s="67"/>
      <x:c r="N45" s="67"/>
      <x:c r="O45" s="67" t="str">
        <x:v>13 requests. Distribuição da API não comprova quantidade de egress nem isolamento do run.</x:v>
      </x:c>
      <x:c r="P45" s="2"/>
      <x:c r="Q45" s="2"/>
      <x:c r="R45" s="2"/>
      <x:c r="S45" s="2"/>
    </x:row>
    <x:row r="46" ht="56" customHeight="1">
      <x:c r="A46" s="2"/>
      <x:c r="B46" s="67" t="str">
        <x:v>logs_ingestion_today</x:v>
      </x:c>
      <x:c r="C46" s="67" t="str">
        <x:v>CloudWatch Logs</x:v>
      </x:c>
      <x:c r="D46" s="67" t="str">
        <x:v>IncomingBytes nos pontos reportados hoje</x:v>
      </x:c>
      <x:c r="E46" s="67" t="n">
        <x:v>6216753</x:v>
      </x:c>
      <x:c r="F46" s="67" t="str">
        <x:v>bytes não comprimidos</x:v>
      </x:c>
      <x:c r="G46" s="67" t="str">
        <x:v>n.a.</x:v>
      </x:c>
      <x:c r="H46" s="67" t="str">
        <x:v>observado</x:v>
      </x:c>
      <x:c r="I46" s="84" t="str">
        <x:v>27/10/2026 00:00–18:00 UTC exclusivo</x:v>
      </x:c>
      <x:c r="J46" s="2"/>
      <x:c r="K46" s="67" t="str">
        <x:v>raw/aws_logs/log_growth_readonly.json; fechamento_logs.json</x:v>
      </x:c>
      <x:c r="L46" s="67"/>
      <x:c r="M46" s="67"/>
      <x:c r="N46" s="67"/>
      <x:c r="O46" s="67" t="str">
        <x:v>14 séries Complete; logs-v2 sem datapoints preservado como null. Não substitui arquivo comprimido.</x:v>
      </x:c>
      <x:c r="P46" s="2"/>
      <x:c r="Q46" s="2"/>
      <x:c r="R46" s="2"/>
      <x:c r="S46" s="2"/>
    </x:row>
    <x:row r="47" ht="56" customHeight="1">
      <x:c r="A47" s="2"/>
      <x:c r="B47" s="67" t="str">
        <x:v>logs_events_today</x:v>
      </x:c>
      <x:c r="C47" s="67" t="str">
        <x:v>CloudWatch Logs</x:v>
      </x:c>
      <x:c r="D47" s="67" t="str">
        <x:v>IncomingLogEvents nos pontos reportados hoje</x:v>
      </x:c>
      <x:c r="E47" s="67" t="n">
        <x:v>27113</x:v>
      </x:c>
      <x:c r="F47" s="67" t="str">
        <x:v>eventos de log</x:v>
      </x:c>
      <x:c r="G47" s="67" t="str">
        <x:v>n.a.</x:v>
      </x:c>
      <x:c r="H47" s="67" t="str">
        <x:v>observado</x:v>
      </x:c>
      <x:c r="I47" s="84" t="str">
        <x:v>27/10/2026 00:00–18:00 UTC exclusivo</x:v>
      </x:c>
      <x:c r="J47" s="2"/>
      <x:c r="K47" s="67" t="str">
        <x:v>raw/aws_logs/log_growth_readonly.json; fechamento_logs.json</x:v>
      </x:c>
      <x:c r="L47" s="67"/>
      <x:c r="M47" s="67"/>
      <x:c r="N47" s="67"/>
      <x:c r="O47" s="67" t="str">
        <x:v>Eventos de log não são invocações Lambda ou eventos de negócio.</x:v>
      </x:c>
      <x:c r="P47" s="2"/>
      <x:c r="Q47" s="2"/>
      <x:c r="R47" s="2"/>
      <x:c r="S47" s="2"/>
    </x:row>
    <x:row r="48" ht="22" customHeight="1">
      <x:c r="A48" s="2"/>
      <x:c r="B48" s="2"/>
      <x:c r="C48" s="2"/>
      <x:c r="D48" s="67"/>
      <x:c r="E48" s="2"/>
      <x:c r="F48" s="2"/>
      <x:c r="G48" s="2"/>
      <x:c r="H48" s="2"/>
      <x:c r="I48" s="2"/>
      <x:c r="J48" s="2"/>
      <x:c r="K48" s="67"/>
      <x:c r="L48" s="67"/>
      <x:c r="M48" s="67"/>
      <x:c r="N48" s="67"/>
      <x:c r="O48" s="67"/>
      <x:c r="P48" s="2"/>
      <x:c r="Q48" s="2"/>
      <x:c r="R48" s="2"/>
      <x:c r="S48" s="2"/>
    </x:row>
    <x:row r="49" ht="22" customHeight="1">
      <x:c r="A49" s="2"/>
      <x:c r="B49" s="2"/>
      <x:c r="C49" s="2"/>
      <x:c r="D49" s="67"/>
      <x:c r="E49" s="2"/>
      <x:c r="F49" s="2"/>
      <x:c r="G49" s="2"/>
      <x:c r="H49" s="2"/>
      <x:c r="I49" s="2"/>
      <x:c r="J49" s="2"/>
      <x:c r="K49" s="67"/>
      <x:c r="L49" s="67"/>
      <x:c r="M49" s="67"/>
      <x:c r="N49" s="67"/>
      <x:c r="O49" s="67"/>
      <x:c r="P49" s="2"/>
      <x:c r="Q49" s="2"/>
      <x:c r="R49" s="2"/>
      <x:c r="S49" s="2"/>
    </x:row>
    <x:row r="50" ht="22" customHeight="1">
      <x:c r="A50" s="2"/>
      <x:c r="B50" s="9" t="str">
        <x:v>Evidências das limitações atuais</x:v>
      </x:c>
      <x:c r="C50" s="9"/>
      <x:c r="D50" s="9"/>
      <x:c r="E50" s="9"/>
      <x:c r="F50" s="9"/>
      <x:c r="G50" s="9"/>
      <x:c r="H50" s="9"/>
      <x:c r="I50" s="9"/>
      <x:c r="J50" s="2"/>
      <x:c r="K50" s="67"/>
      <x:c r="L50" s="67"/>
      <x:c r="M50" s="67"/>
      <x:c r="N50" s="67"/>
      <x:c r="O50" s="67"/>
      <x:c r="P50" s="2"/>
      <x:c r="Q50" s="2"/>
      <x:c r="R50" s="2"/>
      <x:c r="S50" s="2"/>
    </x:row>
    <x:row r="51" ht="92" customHeight="1">
      <x:c r="A51" s="2"/>
      <x:c r="B51" s="2" t="str">
        <x:v>Cenário30dias</x:v>
      </x:c>
      <x:c r="C51" s="2"/>
      <x:c r="D51" s="67" t="str">
        <x:v>4ciclos batch e4replays, sob demanda. Nenhum agendamento foi instalado.</x:v>
      </x:c>
      <x:c r="E51" s="2"/>
      <x:c r="F51" s="2"/>
      <x:c r="G51" s="2"/>
      <x:c r="H51" s="2"/>
      <x:c r="I51" s="2"/>
      <x:c r="J51" s="2"/>
      <x:c r="K51" s="67" t="str">
        <x:v>Enunciado Fase2 e cadence do modelo</x:v>
      </x:c>
      <x:c r="L51" s="67"/>
      <x:c r="M51" s="67"/>
      <x:c r="N51" s="67"/>
      <x:c r="O51" s="67" t="str">
        <x:v>O enunciado pede explicar frequência, sem impor esses4ensaios. Horizonte fixo30dias; volumes e configuração das referências como hipótese.</x:v>
      </x:c>
      <x:c r="P51" s="2"/>
      <x:c r="Q51" s="2"/>
      <x:c r="R51" s="2"/>
      <x:c r="S51" s="2"/>
    </x:row>
    <x:row r="52" ht="92" customHeight="1">
      <x:c r="A52" s="2"/>
      <x:c r="B52" s="2" t="str">
        <x:v>Amazon S3</x:v>
      </x:c>
      <x:c r="C52" s="2"/>
      <x:c r="D52" s="67" t="str">
        <x:v>274.003.263bytes e526objetos medidos nos2buckets.</x:v>
      </x:c>
      <x:c r="E52" s="2"/>
      <x:c r="F52" s="2"/>
      <x:c r="G52" s="2"/>
      <x:c r="H52" s="2"/>
      <x:c r="I52" s="2"/>
      <x:c r="J52" s="2"/>
      <x:c r="K52" s="67" t="str">
        <x:v>../finops_atualizado_20261027/raw/aws/s3_inventory.json</x:v>
      </x:c>
      <x:c r="L52" s="67"/>
      <x:c r="M52" s="67"/>
      <x:c r="N52" s="67"/>
      <x:c r="O52" s="67" t="str">
        <x:v>Crescimento por referência:144.656.163bytes/batch e396.677bytes/replay. Histórico preservado; mesma chave nunca contada duas vezes.</x:v>
      </x:c>
      <x:c r="P52" s="2"/>
      <x:c r="Q52" s="2"/>
      <x:c r="R52" s="2"/>
      <x:c r="S52" s="2"/>
    </x:row>
    <x:row r="53" ht="92" customHeight="1">
      <x:c r="A53" s="2"/>
      <x:c r="B53" s="2" t="str">
        <x:v>AWS Lambda</x:v>
      </x:c>
      <x:c r="C53" s="2"/>
      <x:c r="D53" s="67" t="str">
        <x:v>39REPORTs;17.627ms faturados a256MB =4,40675GB-s por replay.</x:v>
      </x:c>
      <x:c r="E53" s="2"/>
      <x:c r="F53" s="2"/>
      <x:c r="G53" s="2"/>
      <x:c r="H53" s="2"/>
      <x:c r="I53" s="2"/>
      <x:c r="J53" s="2"/>
      <x:c r="K53" s="67" t="str">
        <x:v>../streaming/release_20261027/aws_evidence/exercise_01/runtime_evidence.json</x:v>
      </x:c>
      <x:c r="L53" s="67"/>
      <x:c r="M53" s="67"/>
      <x:c r="N53" s="67"/>
      <x:c r="O53" s="67" t="str">
        <x:v>93MB é pico de uso, não memória cobrada. Não somar InitDuration aos BilledDuration já capturados. O replay não iniciou Glue/BigQuery.</x:v>
      </x:c>
      <x:c r="P53" s="2"/>
      <x:c r="Q53" s="2"/>
      <x:c r="R53" s="2"/>
      <x:c r="S53" s="2"/>
    </x:row>
    <x:row r="54" ht="92" customHeight="1">
      <x:c r="A54" s="2"/>
      <x:c r="B54" s="2" t="str">
        <x:v>Requests de apoio</x:v>
      </x:c>
      <x:c r="C54" s="2"/>
      <x:c r="D54" s="67" t="str">
        <x:v>Proxy21/10inclusive→27/10exclusive:6dias UTC completos; dados aindaEstimated.</x:v>
      </x:c>
      <x:c r="E54" s="2"/>
      <x:c r="F54" s="2"/>
      <x:c r="G54" s="2"/>
      <x:c r="H54" s="2"/>
      <x:c r="I54" s="2"/>
      <x:c r="J54" s="2"/>
      <x:c r="K54" s="67" t="str">
        <x:v>../finops_atualizado_20261027/raw/aws/cost_explorer_usage_types.json</x:v>
      </x:c>
      <x:c r="L54" s="67"/>
      <x:c r="M54" s="67"/>
      <x:c r="N54" s="67"/>
      <x:c r="O54" s="67" t="str">
        <x:v>A janela não contém Bronze nem replay e pode subestimar requests de4novos ciclos. Não é uma medição isolada de requests por ciclo.</x:v>
      </x:c>
      <x:c r="P54" s="2"/>
      <x:c r="Q54" s="2"/>
      <x:c r="R54" s="2"/>
      <x:c r="S54" s="2"/>
    </x:row>
    <x:row r="55" ht="92" customHeight="1">
      <x:c r="A55" s="2"/>
      <x:c r="B55" s="2" t="str">
        <x:v>CloudWatch Logs</x:v>
      </x:c>
      <x:c r="C55" s="2"/>
      <x:c r="D55" s="67" t="str">
        <x:v>Estoque de 7.417.226 bytes confirmado na coleta ampliada; 6.216.753 bytes não comprimidos e 27.113 eventos de log observados hoje.</x:v>
      </x:c>
      <x:c r="E55" s="2"/>
      <x:c r="F55" s="2"/>
      <x:c r="G55" s="2"/>
      <x:c r="H55" s="2"/>
      <x:c r="I55" s="2"/>
      <x:c r="J55" s="2"/>
      <x:c r="K55" s="67" t="str">
        <x:v>raw/aws_logs/log_growth_readonly.json; fechamento_logs.json</x:v>
      </x:c>
      <x:c r="L55" s="67"/>
      <x:c r="M55" s="67"/>
      <x:c r="N55" s="67"/>
      <x:c r="O55" s="67" t="str">
        <x:v>14 séries Complete e duas sem datapoints, preservadas como null. Política STANDARD, sem identidade diária StoredBytes. Estoque estável não fecha incremento comprimido por ciclo.</x:v>
      </x:c>
      <x:c r="P55" s="2"/>
      <x:c r="Q55" s="2"/>
      <x:c r="R55" s="2"/>
      <x:c r="S55" s="2"/>
    </x:row>
    <x:row r="56" ht="92" customHeight="1">
      <x:c r="A56" s="2"/>
      <x:c r="B56" s="2" t="str">
        <x:v>Google Cloud</x:v>
      </x:c>
      <x:c r="C56" s="2"/>
      <x:c r="D56" s="67" t="str">
        <x:v>Coleta de 18:16 UTC: 19 chamadas de metadados e históricos, sem erros; Monitoring respondeu, billingEnabled permaneceu false.</x:v>
      </x:c>
      <x:c r="E56" s="2"/>
      <x:c r="F56" s="2"/>
      <x:c r="G56" s="2"/>
      <x:c r="H56" s="2"/>
      <x:c r="I56" s="2"/>
      <x:c r="J56" s="2"/>
      <x:c r="K56" s="67" t="str">
        <x:v>raw/gcp_existing_metrics.json; fechamento_gcp.json</x:v>
      </x:c>
      <x:c r="L56" s="67"/>
      <x:c r="M56" s="67"/>
      <x:c r="N56" s="67"/>
      <x:c r="O56" s="67" t="str">
        <x:v>Erros 403 da coleta de 12:15 UTC são históricos. A nova sessão foi autorizada pelo usuário; não houve ativação de faturamento. Auditoria do consumidor vazia não prova consumo zero nem cobre o dono da tabela.</x:v>
      </x:c>
      <x:c r="P56" s="2"/>
      <x:c r="Q56" s="2"/>
      <x:c r="R56" s="2"/>
      <x:c r="S56" s="2"/>
    </x:row>
    <x:row r="57" ht="92" customHeight="1">
      <x:c r="A57" s="2"/>
      <x:c r="B57" s="2" t="str">
        <x:v>Logs da extração</x:v>
      </x:c>
      <x:c r="C57" s="2"/>
      <x:c r="D57" s="67" t="str">
        <x:v>Spark histórico lido apenas em memória; driver/executor5.128eventos, sem contador útil de bytes.</x:v>
      </x:c>
      <x:c r="E57" s="2"/>
      <x:c r="F57" s="2"/>
      <x:c r="G57" s="2"/>
      <x:c r="H57" s="2"/>
      <x:c r="I57" s="2"/>
      <x:c r="J57" s="2"/>
      <x:c r="K57" s="67" t="str">
        <x:v>../finops_atualizado_20261027/raw/spark_probe.json; ../finops_atualizado_20261027/raw/bq_driver_probe.json</x:v>
      </x:c>
      <x:c r="L57" s="67"/>
      <x:c r="M57" s="67"/>
      <x:c r="N57" s="67"/>
      <x:c r="O57" s="67" t="str">
        <x:v>Métricas genéricas Spark/Parquet não são egressGoogle. Nenhuma query, nova sessão de leitura, ativação de billing ou reextração foi feita para preencher valores.</x:v>
      </x:c>
      <x:c r="P57" s="2"/>
      <x:c r="Q57" s="2"/>
      <x:c r="R57" s="2"/>
      <x:c r="S57" s="2"/>
    </x:row>
    <x:row r="58" ht="92" customHeight="1">
      <x:c r="A58" s="2"/>
      <x:c r="B58" s="2" t="str">
        <x:v>Créditos e orçamento</x:v>
      </x:c>
      <x:c r="C58" s="2"/>
      <x:c r="D58" s="67" t="str">
        <x:v>Teto total US$140. Fotografia de créditos às 17:18 UTC: US$136,59; uso bruto CE anterior estimado US$3,4142741034.</x:v>
      </x:c>
      <x:c r="E58" s="2"/>
      <x:c r="F58" s="2"/>
      <x:c r="G58" s="2"/>
      <x:c r="H58" s="2"/>
      <x:c r="I58" s="2"/>
      <x:c r="J58" s="2"/>
      <x:c r="K58" s="67" t="str">
        <x:v>../finops_atualizado_20261027/raw/creditos_console.json; ../finops_atualizado_20261027/raw/aws/cost_explorer_usage_types.json</x:v>
      </x:c>
      <x:c r="L58" s="67"/>
      <x:c r="M58" s="67"/>
      <x:c r="N58" s="67"/>
      <x:c r="O58" s="67" t="str">
        <x:v>Não descontar o uso novamente dos créditos. CréditosAWS não pagam outros provedores. O subtotal disponível não garante o custo completo da arquitetura.</x:v>
      </x:c>
      <x:c r="P58" s="2"/>
      <x:c r="Q58" s="2"/>
      <x:c r="R58" s="2"/>
      <x:c r="S58" s="2"/>
    </x:row>
    <x:row r="59" ht="92" customHeight="1">
      <x:c r="A59" s="2"/>
      <x:c r="B59" s="2" t="str">
        <x:v>AWS Budgets</x:v>
      </x:c>
      <x:c r="C59" s="2"/>
      <x:c r="D59" s="67" t="str">
        <x:v>Acompanhamento brutoUS$30/mês, alertasUS$15/24/30; sem bloqueio automático de recursos.</x:v>
      </x:c>
      <x:c r="E59" s="2"/>
      <x:c r="F59" s="2"/>
      <x:c r="G59" s="2"/>
      <x:c r="H59" s="2"/>
      <x:c r="I59" s="2"/>
      <x:c r="J59" s="2"/>
      <x:c r="K59" s="67" t="str">
        <x:v>../finops_atualizado_20261027/raw/aws/budgets_redacted.json; evidência anterior de verificação do contato</x:v>
      </x:c>
      <x:c r="L59" s="67"/>
      <x:c r="M59" s="67"/>
      <x:c r="N59" s="67"/>
      <x:c r="O59" s="67" t="str">
        <x:v>Último estado0/1verificado,Inactive. A entrega de e-mail segue sem comprovação; não foi enviado outro e-mail nem alterado IAM.</x:v>
      </x:c>
      <x:c r="P59" s="2"/>
      <x:c r="Q59" s="2"/>
      <x:c r="R59" s="2"/>
      <x:c r="S59" s="2"/>
    </x:row>
    <x:row r="60" ht="92" customHeight="1">
      <x:c r="A60" s="2"/>
      <x:c r="B60" s="2" t="str">
        <x:v>Coleta FinOps</x:v>
      </x:c>
      <x:c r="C60" s="2"/>
      <x:c r="D60" s="67" t="str">
        <x:v>1página Cost Explorer; tarifa de referênciaUS$0,01 pela chamada.</x:v>
      </x:c>
      <x:c r="E60" s="2"/>
      <x:c r="F60" s="2"/>
      <x:c r="G60" s="2"/>
      <x:c r="H60" s="2"/>
      <x:c r="I60" s="2"/>
      <x:c r="J60" s="2"/>
      <x:c r="K60" s="67" t="str">
        <x:v>../finops_atualizado_20261027/raw/aws/cost_explorer_usage_types.json</x:v>
      </x:c>
      <x:c r="L60" s="67"/>
      <x:c r="M60" s="67"/>
      <x:c r="N60" s="67"/>
      <x:c r="O60" s="67" t="str">
        <x:v>Custo de medição pontual, sem afirmar lançamento imediato em fatura nem criar uma auditoria recorrente.</x:v>
      </x:c>
      <x:c r="P60" s="2"/>
      <x:c r="Q60" s="2"/>
      <x:c r="R60" s="2"/>
      <x:c r="S60" s="2"/>
    </x:row>
    <x:row r="61" ht="92" customHeight="1">
      <x:c r="A61" s="2"/>
      <x:c r="B61" s="2" t="str">
        <x:v>Leitura prospectiva BigQuery</x:v>
      </x:c>
      <x:c r="C61" s="2"/>
      <x:c r="D61" s="67" t="str">
        <x:v>271.547.681 bytes lógicos medidos; uma leitura integral por batch, quatro ciclos hipotéticos em 30 dias.</x:v>
      </x:c>
      <x:c r="E61" s="2"/>
      <x:c r="F61" s="2"/>
      <x:c r="G61" s="2"/>
      <x:c r="H61" s="2"/>
      <x:c r="I61" s="2"/>
      <x:c r="J61" s="2"/>
      <x:c r="K61" s="67" t="str">
        <x:v>raw/gcp_existing_metrics.json; fechamento_gcp.json; ../manifesto_bronze.json</x:v>
      </x:c>
      <x:c r="L61" s="67"/>
      <x:c r="M61" s="67"/>
      <x:c r="N61" s="67"/>
      <x:c r="O61" s="67" t="str">
        <x:v>Projeção bruta pré-franquias, não histórico faturado. Leituras extras e retries ficam fora do fator. Egress e crescimento comprimido dos logs seguem n.a.</x:v>
      </x:c>
      <x:c r="P61" s="2"/>
      <x:c r="Q61" s="2"/>
      <x:c r="R61" s="2"/>
      <x:c r="S61" s="2"/>
    </x:row>
    <x:row r="62" ht="92" customHeight="1">
      <x:c r="A62" s="2"/>
      <x:c r="B62" s="2" t="str">
        <x:v>Coleta GCP atual</x:v>
      </x:c>
      <x:c r="C62" s="2"/>
      <x:c r="D62" s="67" t="str">
        <x:v>Monitoring respondeu na sessão autorizada; foram feitas 19 chamadas de leitura de metadados/históricos.</x:v>
      </x:c>
      <x:c r="E62" s="2"/>
      <x:c r="F62" s="2"/>
      <x:c r="G62" s="2"/>
      <x:c r="H62" s="2"/>
      <x:c r="I62" s="2"/>
      <x:c r="J62" s="2"/>
      <x:c r="K62" s="67" t="str">
        <x:v>raw/gcp_existing_metrics.json; gcp_acesso_renovado.png; gcp_coleta_executada.png</x:v>
      </x:c>
      <x:c r="L62" s="67"/>
      <x:c r="M62" s="67"/>
      <x:c r="N62" s="67"/>
      <x:c r="O62" s="67" t="str">
        <x:v>A recusa automática inicial de renovação foi resolvida com aprovação explícita do usuário. Não ativou billing, APIs ou IAM; nenhum SQL, ReadRows ou ReadSession novo foi iniciado.</x:v>
      </x:c>
      <x:c r="P62" s="2"/>
      <x:c r="Q62" s="2"/>
      <x:c r="R62" s="2"/>
      <x:c r="S62" s="2"/>
    </x:row>
    <x:row r="63" ht="92" customHeight="1">
      <x:c r="A63" s="2"/>
      <x:c r="B63" s="2" t="str">
        <x:v>Telemetria GCP</x:v>
      </x:c>
      <x:c r="C63" s="2"/>
      <x:c r="D63" s="67" t="str">
        <x:v>ReadRows: 1.860.997 bytes de response_sizes e 13 requests na janela de dez minutos.</x:v>
      </x:c>
      <x:c r="E63" s="2"/>
      <x:c r="F63" s="2"/>
      <x:c r="G63" s="2"/>
      <x:c r="H63" s="2"/>
      <x:c r="I63" s="2"/>
      <x:c r="J63" s="2"/>
      <x:c r="K63" s="67" t="str">
        <x:v>raw/gcp_existing_metrics.json; fechamento_gcp.json</x:v>
      </x:c>
      <x:c r="L63" s="67"/>
      <x:c r="M63" s="67"/>
      <x:c r="N63" s="67"/>
      <x:c r="O63" s="67" t="str">
        <x:v>A janela do consumidor contém batch e previews. A distribuição de respostas não estabelece equivalência aos bytes de rede faturáveis; não usá-la como egress.</x:v>
      </x:c>
      <x:c r="P63" s="2"/>
      <x:c r="Q63" s="2"/>
      <x:c r="R63" s="2"/>
      <x:c r="S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</x:sheetData>
  <x:pageMargins left="0.7" right="0.7" top="0.75" bottom="0.75" header="0.3" footer="0.3"/>
</x:worksheet>
</file>